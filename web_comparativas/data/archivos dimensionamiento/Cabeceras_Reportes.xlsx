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9"/>
  <workbookPr defaultThemeVersion="124226"/>
  <mc:AlternateContent xmlns:mc="http://schemas.openxmlformats.org/markup-compatibility/2006">
    <mc:Choice Requires="x15">
      <x15ac:absPath xmlns:x15ac="http://schemas.microsoft.com/office/spreadsheetml/2010/11/ac" url="https://suizoargentina365-my.sharepoint.com/personal/xavier_hernandez_suizoargentina_com/Documents/Documentos/"/>
    </mc:Choice>
  </mc:AlternateContent>
  <xr:revisionPtr revIDLastSave="0" documentId="8_{6DB18501-565A-4219-B5E6-2FDC43E36CA6}" xr6:coauthVersionLast="47" xr6:coauthVersionMax="47" xr10:uidLastSave="{00000000-0000-0000-0000-000000000000}"/>
  <bookViews>
    <workbookView xWindow="-108" yWindow="-108" windowWidth="23256" windowHeight="12456" firstSheet="3" activeTab="3" xr2:uid="{00000000-000D-0000-FFFF-FFFF00000000}"/>
  </bookViews>
  <sheets>
    <sheet name="Reporte_Productos" sheetId="1" r:id="rId1"/>
    <sheet name="reporte_gerencial_analitico" sheetId="2" r:id="rId2"/>
    <sheet name="informe_de_items_cotizados" sheetId="3" r:id="rId3"/>
    <sheet name="Salida Bionexo" sheetId="4" r:id="rId4"/>
    <sheet name="Salida Portada Salud"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4" l="1"/>
  <c r="B13" i="4"/>
  <c r="B9" i="4"/>
  <c r="B4" i="4"/>
  <c r="B11" i="4"/>
  <c r="B6" i="4"/>
  <c r="B7" i="4"/>
  <c r="B10" i="4"/>
  <c r="B3" i="4"/>
</calcChain>
</file>

<file path=xl/sharedStrings.xml><?xml version="1.0" encoding="utf-8"?>
<sst xmlns="http://schemas.openxmlformats.org/spreadsheetml/2006/main" count="176" uniqueCount="79">
  <si>
    <t>Columnas</t>
  </si>
  <si>
    <t>Comprador</t>
  </si>
  <si>
    <t>CUIT</t>
  </si>
  <si>
    <t>Localidad</t>
  </si>
  <si>
    <t>Provincia</t>
  </si>
  <si>
    <t>Fecha</t>
  </si>
  <si>
    <t>Vence</t>
  </si>
  <si>
    <t>Pedido</t>
  </si>
  <si>
    <t>C.I.</t>
  </si>
  <si>
    <t>Producto</t>
  </si>
  <si>
    <t>Marca</t>
  </si>
  <si>
    <t>Cantidad</t>
  </si>
  <si>
    <t>Cotizado</t>
  </si>
  <si>
    <t>Ganado</t>
  </si>
  <si>
    <t>data_abertura</t>
  </si>
  <si>
    <t>pdc_id</t>
  </si>
  <si>
    <t>hosp_razao_social</t>
  </si>
  <si>
    <t>prodh_nome</t>
  </si>
  <si>
    <t>qtde_venda</t>
  </si>
  <si>
    <t>marca</t>
  </si>
  <si>
    <t>preco_unit</t>
  </si>
  <si>
    <t>categoria</t>
  </si>
  <si>
    <t>resultado</t>
  </si>
  <si>
    <t>hospital</t>
  </si>
  <si>
    <t>cuit hospital</t>
  </si>
  <si>
    <t>ciudad</t>
  </si>
  <si>
    <t>provincia</t>
  </si>
  <si>
    <t>nombre producto fornec</t>
  </si>
  <si>
    <t>código producto fornec</t>
  </si>
  <si>
    <t>marca producto fornec</t>
  </si>
  <si>
    <t>nombre producto</t>
  </si>
  <si>
    <t>código producto</t>
  </si>
  <si>
    <t>marca cotizada</t>
  </si>
  <si>
    <t>marca preferida</t>
  </si>
  <si>
    <t>comentarios</t>
  </si>
  <si>
    <t>id pdc</t>
  </si>
  <si>
    <t>unidad de medida</t>
  </si>
  <si>
    <t>cantidad</t>
  </si>
  <si>
    <t>iva</t>
  </si>
  <si>
    <t>precio unitario</t>
  </si>
  <si>
    <t>fecha apertura</t>
  </si>
  <si>
    <t>fecha cierre</t>
  </si>
  <si>
    <t>fecha confirmación</t>
  </si>
  <si>
    <t>fecha cotización proveedor</t>
  </si>
  <si>
    <t>vendedor</t>
  </si>
  <si>
    <t>estado</t>
  </si>
  <si>
    <t>valor total</t>
  </si>
  <si>
    <t>codigo proveedor</t>
  </si>
  <si>
    <t>BIONEXO</t>
  </si>
  <si>
    <t>Columnas NUEVAS</t>
  </si>
  <si>
    <t>ORIGEN DEL DATO</t>
  </si>
  <si>
    <t>Reporte</t>
  </si>
  <si>
    <t>Condicional</t>
  </si>
  <si>
    <t>Si no cumple</t>
  </si>
  <si>
    <t>apertura</t>
  </si>
  <si>
    <t>reporte_gerencial_analitico</t>
  </si>
  <si>
    <t>extraer directo</t>
  </si>
  <si>
    <t>SIN DATO</t>
  </si>
  <si>
    <t>codigo_suizo</t>
  </si>
  <si>
    <t>informe_de_items_cotizados</t>
  </si>
  <si>
    <t>Buscar por nombre de producto del reporte gerencial el codigo de proveedor  en el reporte de itemas cotizados</t>
  </si>
  <si>
    <t>cuit</t>
  </si>
  <si>
    <t>Buscar por nombre de hospital del reporte gerencial el CUIT en el reporte de itemas cotizados</t>
  </si>
  <si>
    <t>localidad</t>
  </si>
  <si>
    <t>Buscar por nombre de hospital del reporte gerencial el la ciudad en el reporte de itemas cotizados</t>
  </si>
  <si>
    <t>proceso</t>
  </si>
  <si>
    <t>producto</t>
  </si>
  <si>
    <t>Buscar por nombre de hospital del reporte gerencial la provincia en el reporte de itemas cotizados</t>
  </si>
  <si>
    <t>plataforma</t>
  </si>
  <si>
    <t>Serán calculos</t>
  </si>
  <si>
    <t>Nombre de la plataforma a la que pertenece el reporte</t>
  </si>
  <si>
    <t>relación</t>
  </si>
  <si>
    <t xml:space="preserve">se determina como "cliente" aquellos hospitales que poseen CUIT y "No cliente" a quienes no tengan </t>
  </si>
  <si>
    <t>PORTADA SALUD</t>
  </si>
  <si>
    <t>Reporte_Productos</t>
  </si>
  <si>
    <t>sin dato</t>
  </si>
  <si>
    <t>comprador</t>
  </si>
  <si>
    <t>Si sale en blanco en ambas columnas es un "No participó", si dice Si en Cotizado, pero no en ganado, se denomina "Comprado de Otra Empresa", si es es un Si en ambas columnas es un "Confirmado"</t>
  </si>
  <si>
    <t>NO APLICA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</si>
</sst>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0"/>
      <color theme="1"/>
      <name val="Calibri"/>
      <family val="2"/>
      <scheme val="minor"/>
    </font>
  </fonts>
  <fills count="2">
    <fill>
      <patternFill patternType="none"/>
    </fill>
    <fill>
      <patternFill patternType="gray125"/>
    </fill>
  </fills>
  <borders count="6">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center" wrapText="1"/>
    </xf>
    <xf numFmtId="0" fontId="0" fillId="0" borderId="1" xfId="0" applyBorder="1"/>
    <xf numFmtId="0" fontId="1" fillId="0" borderId="1" xfId="0" applyFont="1" applyBorder="1" applyAlignment="1">
      <alignment horizontal="center"/>
    </xf>
    <xf numFmtId="0" fontId="0" fillId="0" borderId="1" xfId="0" applyBorder="1" applyAlignment="1">
      <alignment horizontal="center"/>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xf>
    <xf numFmtId="0" fontId="1" fillId="0" borderId="5" xfId="0" applyFont="1" applyBorder="1" applyAlignment="1">
      <alignment horizont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
  <sheetViews>
    <sheetView workbookViewId="0">
      <selection activeCell="H14" sqref="H14"/>
    </sheetView>
  </sheetViews>
  <sheetFormatPr defaultColWidth="8.85546875" defaultRowHeight="14.45"/>
  <cols>
    <col min="1" max="1" width="21.7109375" customWidth="1"/>
  </cols>
  <sheetData>
    <row r="1" spans="1:1">
      <c r="A1" s="1" t="s">
        <v>0</v>
      </c>
    </row>
    <row r="2" spans="1:1">
      <c r="A2" s="2" t="s">
        <v>1</v>
      </c>
    </row>
    <row r="3" spans="1:1">
      <c r="A3" s="2" t="s">
        <v>2</v>
      </c>
    </row>
    <row r="4" spans="1:1">
      <c r="A4" s="2" t="s">
        <v>3</v>
      </c>
    </row>
    <row r="5" spans="1:1">
      <c r="A5" s="2" t="s">
        <v>4</v>
      </c>
    </row>
    <row r="6" spans="1:1">
      <c r="A6" s="2" t="s">
        <v>5</v>
      </c>
    </row>
    <row r="7" spans="1:1">
      <c r="A7" s="2" t="s">
        <v>6</v>
      </c>
    </row>
    <row r="8" spans="1:1">
      <c r="A8" s="2" t="s">
        <v>7</v>
      </c>
    </row>
    <row r="9" spans="1:1">
      <c r="A9" s="2" t="s">
        <v>8</v>
      </c>
    </row>
    <row r="10" spans="1:1">
      <c r="A10" s="2" t="s">
        <v>9</v>
      </c>
    </row>
    <row r="11" spans="1:1">
      <c r="A11" s="2" t="s">
        <v>10</v>
      </c>
    </row>
    <row r="12" spans="1:1">
      <c r="A12" s="2" t="s">
        <v>11</v>
      </c>
    </row>
    <row r="13" spans="1:1">
      <c r="A13" s="2" t="s">
        <v>12</v>
      </c>
    </row>
    <row r="14" spans="1:1">
      <c r="A14" s="2"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election activeCell="A2" sqref="A2:A10"/>
    </sheetView>
  </sheetViews>
  <sheetFormatPr defaultColWidth="8.85546875" defaultRowHeight="14.45"/>
  <cols>
    <col min="1" max="1" width="26.5703125" customWidth="1"/>
  </cols>
  <sheetData>
    <row r="1" spans="1:1">
      <c r="A1" s="1" t="s">
        <v>0</v>
      </c>
    </row>
    <row r="2" spans="1:1">
      <c r="A2" s="3" t="s">
        <v>14</v>
      </c>
    </row>
    <row r="3" spans="1:1">
      <c r="A3" s="3" t="s">
        <v>15</v>
      </c>
    </row>
    <row r="4" spans="1:1">
      <c r="A4" s="3" t="s">
        <v>16</v>
      </c>
    </row>
    <row r="5" spans="1:1">
      <c r="A5" s="3" t="s">
        <v>17</v>
      </c>
    </row>
    <row r="6" spans="1:1">
      <c r="A6" s="3" t="s">
        <v>18</v>
      </c>
    </row>
    <row r="7" spans="1:1">
      <c r="A7" s="3" t="s">
        <v>19</v>
      </c>
    </row>
    <row r="8" spans="1:1">
      <c r="A8" s="3" t="s">
        <v>20</v>
      </c>
    </row>
    <row r="9" spans="1:1">
      <c r="A9" s="3" t="s">
        <v>21</v>
      </c>
    </row>
    <row r="10" spans="1:1">
      <c r="A10" s="3"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
  <sheetViews>
    <sheetView workbookViewId="0">
      <selection activeCell="B28" sqref="B28"/>
    </sheetView>
  </sheetViews>
  <sheetFormatPr defaultColWidth="8.85546875" defaultRowHeight="14.45"/>
  <cols>
    <col min="1" max="1" width="25.5703125" customWidth="1"/>
  </cols>
  <sheetData>
    <row r="1" spans="1:1">
      <c r="A1" s="1" t="s">
        <v>0</v>
      </c>
    </row>
    <row r="2" spans="1:1">
      <c r="A2" s="3" t="s">
        <v>23</v>
      </c>
    </row>
    <row r="3" spans="1:1">
      <c r="A3" s="3" t="s">
        <v>24</v>
      </c>
    </row>
    <row r="4" spans="1:1">
      <c r="A4" s="3" t="s">
        <v>25</v>
      </c>
    </row>
    <row r="5" spans="1:1">
      <c r="A5" s="3" t="s">
        <v>26</v>
      </c>
    </row>
    <row r="6" spans="1:1">
      <c r="A6" s="3" t="s">
        <v>27</v>
      </c>
    </row>
    <row r="7" spans="1:1">
      <c r="A7" s="3" t="s">
        <v>28</v>
      </c>
    </row>
    <row r="8" spans="1:1">
      <c r="A8" s="3" t="s">
        <v>29</v>
      </c>
    </row>
    <row r="9" spans="1:1">
      <c r="A9" s="3" t="s">
        <v>30</v>
      </c>
    </row>
    <row r="10" spans="1:1">
      <c r="A10" s="3" t="s">
        <v>31</v>
      </c>
    </row>
    <row r="11" spans="1:1">
      <c r="A11" s="3" t="s">
        <v>32</v>
      </c>
    </row>
    <row r="12" spans="1:1">
      <c r="A12" s="3" t="s">
        <v>33</v>
      </c>
    </row>
    <row r="13" spans="1:1">
      <c r="A13" s="3" t="s">
        <v>34</v>
      </c>
    </row>
    <row r="14" spans="1:1">
      <c r="A14" s="3" t="s">
        <v>35</v>
      </c>
    </row>
    <row r="15" spans="1:1">
      <c r="A15" s="3" t="s">
        <v>36</v>
      </c>
    </row>
    <row r="16" spans="1:1">
      <c r="A16" s="3" t="s">
        <v>37</v>
      </c>
    </row>
    <row r="17" spans="1:1">
      <c r="A17" s="3" t="s">
        <v>38</v>
      </c>
    </row>
    <row r="18" spans="1:1">
      <c r="A18" s="3" t="s">
        <v>39</v>
      </c>
    </row>
    <row r="19" spans="1:1">
      <c r="A19" s="3" t="s">
        <v>40</v>
      </c>
    </row>
    <row r="20" spans="1:1">
      <c r="A20" s="3" t="s">
        <v>41</v>
      </c>
    </row>
    <row r="21" spans="1:1">
      <c r="A21" s="3" t="s">
        <v>42</v>
      </c>
    </row>
    <row r="22" spans="1:1">
      <c r="A22" s="3" t="s">
        <v>43</v>
      </c>
    </row>
    <row r="23" spans="1:1">
      <c r="A23" s="3" t="s">
        <v>44</v>
      </c>
    </row>
    <row r="24" spans="1:1">
      <c r="A24" s="3" t="s">
        <v>45</v>
      </c>
    </row>
    <row r="25" spans="1:1">
      <c r="A25" s="3" t="s">
        <v>46</v>
      </c>
    </row>
    <row r="26" spans="1:1">
      <c r="A26" s="3" t="s">
        <v>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3BBFF-7F3C-4537-AD52-C9FCC1F079DE}">
  <dimension ref="A1:E15"/>
  <sheetViews>
    <sheetView tabSelected="1" workbookViewId="0">
      <selection activeCell="F23" sqref="F23"/>
    </sheetView>
  </sheetViews>
  <sheetFormatPr defaultColWidth="11.42578125" defaultRowHeight="14.45"/>
  <cols>
    <col min="1" max="1" width="20.28515625" customWidth="1"/>
    <col min="2" max="2" width="19.28515625" customWidth="1"/>
    <col min="3" max="3" width="25.7109375" customWidth="1"/>
    <col min="4" max="4" width="92.85546875" customWidth="1"/>
    <col min="5" max="5" width="19.140625" customWidth="1"/>
  </cols>
  <sheetData>
    <row r="1" spans="1:5">
      <c r="A1" s="11" t="s">
        <v>48</v>
      </c>
      <c r="B1" s="11"/>
      <c r="C1" s="11"/>
      <c r="D1" s="11"/>
      <c r="E1" s="11"/>
    </row>
    <row r="2" spans="1:5">
      <c r="A2" s="1" t="s">
        <v>49</v>
      </c>
      <c r="B2" s="4" t="s">
        <v>50</v>
      </c>
      <c r="C2" s="4" t="s">
        <v>51</v>
      </c>
      <c r="D2" s="4" t="s">
        <v>52</v>
      </c>
      <c r="E2" s="4" t="s">
        <v>53</v>
      </c>
    </row>
    <row r="3" spans="1:5">
      <c r="A3" s="3" t="s">
        <v>54</v>
      </c>
      <c r="B3" s="3" t="str">
        <f>reporte_gerencial_analitico!A2</f>
        <v>data_abertura</v>
      </c>
      <c r="C3" s="3" t="s">
        <v>55</v>
      </c>
      <c r="D3" s="3" t="s">
        <v>56</v>
      </c>
      <c r="E3" s="5" t="s">
        <v>57</v>
      </c>
    </row>
    <row r="4" spans="1:5">
      <c r="A4" s="3" t="s">
        <v>37</v>
      </c>
      <c r="B4" s="3" t="str">
        <f>reporte_gerencial_analitico!A6</f>
        <v>qtde_venda</v>
      </c>
      <c r="C4" s="3" t="s">
        <v>55</v>
      </c>
      <c r="D4" s="3" t="s">
        <v>56</v>
      </c>
      <c r="E4" s="5" t="s">
        <v>57</v>
      </c>
    </row>
    <row r="5" spans="1:5">
      <c r="A5" s="3" t="s">
        <v>58</v>
      </c>
      <c r="B5" s="3" t="str">
        <f>informe_de_items_cotizados!A26</f>
        <v>codigo proveedor</v>
      </c>
      <c r="C5" s="3" t="s">
        <v>59</v>
      </c>
      <c r="D5" s="3" t="s">
        <v>60</v>
      </c>
      <c r="E5" s="5" t="s">
        <v>57</v>
      </c>
    </row>
    <row r="6" spans="1:5">
      <c r="A6" s="3" t="s">
        <v>61</v>
      </c>
      <c r="B6" s="3" t="str">
        <f>informe_de_items_cotizados!A3</f>
        <v>cuit hospital</v>
      </c>
      <c r="C6" s="3" t="s">
        <v>59</v>
      </c>
      <c r="D6" s="3" t="s">
        <v>62</v>
      </c>
      <c r="E6" s="5" t="s">
        <v>57</v>
      </c>
    </row>
    <row r="7" spans="1:5">
      <c r="A7" s="3" t="s">
        <v>23</v>
      </c>
      <c r="B7" s="3" t="str">
        <f>reporte_gerencial_analitico!A4</f>
        <v>hosp_razao_social</v>
      </c>
      <c r="C7" s="3" t="s">
        <v>55</v>
      </c>
      <c r="D7" s="3" t="s">
        <v>56</v>
      </c>
      <c r="E7" s="5" t="s">
        <v>57</v>
      </c>
    </row>
    <row r="8" spans="1:5">
      <c r="A8" s="3" t="s">
        <v>63</v>
      </c>
      <c r="B8" s="3" t="s">
        <v>25</v>
      </c>
      <c r="C8" s="3" t="s">
        <v>59</v>
      </c>
      <c r="D8" s="3" t="s">
        <v>64</v>
      </c>
      <c r="E8" s="5" t="s">
        <v>57</v>
      </c>
    </row>
    <row r="9" spans="1:5">
      <c r="A9" s="3" t="s">
        <v>19</v>
      </c>
      <c r="B9" s="3" t="str">
        <f>reporte_gerencial_analitico!A7</f>
        <v>marca</v>
      </c>
      <c r="C9" s="3" t="s">
        <v>55</v>
      </c>
      <c r="D9" s="3" t="s">
        <v>56</v>
      </c>
      <c r="E9" s="5" t="s">
        <v>57</v>
      </c>
    </row>
    <row r="10" spans="1:5">
      <c r="A10" s="3" t="s">
        <v>65</v>
      </c>
      <c r="B10" s="3" t="str">
        <f>reporte_gerencial_analitico!A3</f>
        <v>pdc_id</v>
      </c>
      <c r="C10" s="3" t="s">
        <v>55</v>
      </c>
      <c r="D10" s="3" t="s">
        <v>56</v>
      </c>
      <c r="E10" s="5" t="s">
        <v>57</v>
      </c>
    </row>
    <row r="11" spans="1:5">
      <c r="A11" s="3" t="s">
        <v>66</v>
      </c>
      <c r="B11" s="3" t="str">
        <f>reporte_gerencial_analitico!A5</f>
        <v>prodh_nome</v>
      </c>
      <c r="C11" s="3" t="s">
        <v>55</v>
      </c>
      <c r="D11" s="3" t="s">
        <v>56</v>
      </c>
      <c r="E11" s="5" t="s">
        <v>57</v>
      </c>
    </row>
    <row r="12" spans="1:5">
      <c r="A12" s="3" t="s">
        <v>26</v>
      </c>
      <c r="B12" s="3" t="s">
        <v>26</v>
      </c>
      <c r="C12" s="3" t="s">
        <v>59</v>
      </c>
      <c r="D12" s="3" t="s">
        <v>67</v>
      </c>
      <c r="E12" s="5" t="s">
        <v>57</v>
      </c>
    </row>
    <row r="13" spans="1:5">
      <c r="A13" s="3" t="s">
        <v>22</v>
      </c>
      <c r="B13" s="3" t="str">
        <f>reporte_gerencial_analitico!A10</f>
        <v>resultado</v>
      </c>
      <c r="C13" s="3" t="s">
        <v>55</v>
      </c>
      <c r="D13" s="3" t="s">
        <v>56</v>
      </c>
      <c r="E13" s="5" t="s">
        <v>57</v>
      </c>
    </row>
    <row r="14" spans="1:5">
      <c r="A14" s="3" t="s">
        <v>68</v>
      </c>
      <c r="B14" s="10" t="s">
        <v>69</v>
      </c>
      <c r="C14" s="10"/>
      <c r="D14" s="3" t="s">
        <v>70</v>
      </c>
      <c r="E14" s="5" t="s">
        <v>57</v>
      </c>
    </row>
    <row r="15" spans="1:5">
      <c r="A15" s="3" t="s">
        <v>71</v>
      </c>
      <c r="B15" s="10" t="s">
        <v>69</v>
      </c>
      <c r="C15" s="10"/>
      <c r="D15" s="3" t="s">
        <v>72</v>
      </c>
      <c r="E15" s="5" t="s">
        <v>57</v>
      </c>
    </row>
  </sheetData>
  <sortState xmlns:xlrd2="http://schemas.microsoft.com/office/spreadsheetml/2017/richdata2" ref="A3:E13">
    <sortCondition ref="A3:A13"/>
  </sortState>
  <mergeCells count="3">
    <mergeCell ref="B14:C14"/>
    <mergeCell ref="B15:C15"/>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D9D87-163E-4F30-B721-49F710599BBC}">
  <dimension ref="A1:E16"/>
  <sheetViews>
    <sheetView workbookViewId="0">
      <selection activeCell="F13" sqref="F13"/>
    </sheetView>
  </sheetViews>
  <sheetFormatPr defaultColWidth="11.42578125" defaultRowHeight="14.45"/>
  <cols>
    <col min="1" max="2" width="19.140625" customWidth="1"/>
    <col min="3" max="3" width="20.5703125" customWidth="1"/>
    <col min="4" max="4" width="86.5703125" customWidth="1"/>
    <col min="5" max="5" width="14.5703125" customWidth="1"/>
  </cols>
  <sheetData>
    <row r="1" spans="1:5">
      <c r="A1" s="11" t="s">
        <v>73</v>
      </c>
      <c r="B1" s="11"/>
      <c r="C1" s="11"/>
      <c r="D1" s="11"/>
      <c r="E1" s="11"/>
    </row>
    <row r="2" spans="1:5">
      <c r="A2" s="1" t="s">
        <v>49</v>
      </c>
      <c r="B2" s="4" t="s">
        <v>50</v>
      </c>
      <c r="C2" s="4" t="s">
        <v>51</v>
      </c>
      <c r="D2" s="4" t="s">
        <v>52</v>
      </c>
      <c r="E2" s="4" t="s">
        <v>53</v>
      </c>
    </row>
    <row r="3" spans="1:5">
      <c r="A3" s="3" t="s">
        <v>54</v>
      </c>
      <c r="B3" s="6" t="s">
        <v>5</v>
      </c>
      <c r="C3" s="3" t="s">
        <v>74</v>
      </c>
      <c r="D3" s="3" t="s">
        <v>56</v>
      </c>
      <c r="E3" s="3" t="s">
        <v>75</v>
      </c>
    </row>
    <row r="4" spans="1:5">
      <c r="A4" s="3" t="s">
        <v>37</v>
      </c>
      <c r="B4" s="6" t="s">
        <v>11</v>
      </c>
      <c r="C4" s="3" t="s">
        <v>74</v>
      </c>
      <c r="D4" s="3" t="s">
        <v>56</v>
      </c>
      <c r="E4" s="3" t="s">
        <v>75</v>
      </c>
    </row>
    <row r="5" spans="1:5">
      <c r="A5" s="3" t="s">
        <v>58</v>
      </c>
      <c r="B5" s="3"/>
      <c r="C5" s="3"/>
      <c r="D5" s="3"/>
      <c r="E5" s="3"/>
    </row>
    <row r="6" spans="1:5">
      <c r="A6" s="3" t="s">
        <v>61</v>
      </c>
      <c r="B6" s="6" t="s">
        <v>2</v>
      </c>
      <c r="C6" s="3" t="s">
        <v>74</v>
      </c>
      <c r="D6" s="3" t="s">
        <v>56</v>
      </c>
      <c r="E6" s="3" t="s">
        <v>75</v>
      </c>
    </row>
    <row r="7" spans="1:5">
      <c r="A7" s="3" t="s">
        <v>23</v>
      </c>
      <c r="B7" s="6" t="s">
        <v>76</v>
      </c>
      <c r="C7" s="3" t="s">
        <v>74</v>
      </c>
      <c r="D7" s="3" t="s">
        <v>56</v>
      </c>
      <c r="E7" s="3" t="s">
        <v>75</v>
      </c>
    </row>
    <row r="8" spans="1:5">
      <c r="A8" s="7" t="s">
        <v>63</v>
      </c>
      <c r="B8" s="6" t="s">
        <v>63</v>
      </c>
      <c r="C8" s="3" t="s">
        <v>74</v>
      </c>
      <c r="D8" s="3" t="s">
        <v>56</v>
      </c>
      <c r="E8" s="3" t="s">
        <v>75</v>
      </c>
    </row>
    <row r="9" spans="1:5">
      <c r="A9" s="3" t="s">
        <v>19</v>
      </c>
      <c r="B9" s="6" t="s">
        <v>10</v>
      </c>
      <c r="C9" s="3" t="s">
        <v>74</v>
      </c>
      <c r="D9" s="3" t="s">
        <v>56</v>
      </c>
      <c r="E9" s="3" t="s">
        <v>75</v>
      </c>
    </row>
    <row r="10" spans="1:5">
      <c r="A10" s="3" t="s">
        <v>65</v>
      </c>
      <c r="B10" s="6" t="s">
        <v>7</v>
      </c>
      <c r="C10" s="3" t="s">
        <v>74</v>
      </c>
      <c r="D10" s="3" t="s">
        <v>56</v>
      </c>
      <c r="E10" s="3" t="s">
        <v>75</v>
      </c>
    </row>
    <row r="11" spans="1:5">
      <c r="A11" s="3" t="s">
        <v>66</v>
      </c>
      <c r="B11" s="6" t="s">
        <v>9</v>
      </c>
      <c r="C11" s="3" t="s">
        <v>74</v>
      </c>
      <c r="D11" s="3" t="s">
        <v>56</v>
      </c>
      <c r="E11" s="3" t="s">
        <v>75</v>
      </c>
    </row>
    <row r="12" spans="1:5" ht="48.6" customHeight="1">
      <c r="A12" s="7" t="s">
        <v>26</v>
      </c>
      <c r="B12" s="6" t="s">
        <v>26</v>
      </c>
      <c r="C12" s="8" t="s">
        <v>74</v>
      </c>
      <c r="D12" s="9" t="s">
        <v>56</v>
      </c>
      <c r="E12" s="9" t="s">
        <v>75</v>
      </c>
    </row>
    <row r="13" spans="1:5" ht="48.6" customHeight="1">
      <c r="A13" s="12" t="s">
        <v>22</v>
      </c>
      <c r="B13" s="6" t="s">
        <v>12</v>
      </c>
      <c r="C13" s="12" t="s">
        <v>74</v>
      </c>
      <c r="D13" s="14" t="s">
        <v>77</v>
      </c>
      <c r="E13" s="12" t="s">
        <v>78</v>
      </c>
    </row>
    <row r="14" spans="1:5" ht="86.45" customHeight="1">
      <c r="A14" s="13"/>
      <c r="B14" s="6" t="s">
        <v>13</v>
      </c>
      <c r="C14" s="13"/>
      <c r="D14" s="15"/>
      <c r="E14" s="13"/>
    </row>
    <row r="15" spans="1:5">
      <c r="A15" s="3" t="s">
        <v>68</v>
      </c>
      <c r="B15" s="10" t="s">
        <v>69</v>
      </c>
      <c r="C15" s="10"/>
      <c r="D15" s="3" t="s">
        <v>70</v>
      </c>
      <c r="E15" s="5" t="s">
        <v>57</v>
      </c>
    </row>
    <row r="16" spans="1:5">
      <c r="A16" s="3" t="s">
        <v>71</v>
      </c>
      <c r="B16" s="10" t="s">
        <v>69</v>
      </c>
      <c r="C16" s="10"/>
      <c r="D16" s="3" t="s">
        <v>72</v>
      </c>
      <c r="E16" s="5" t="s">
        <v>57</v>
      </c>
    </row>
  </sheetData>
  <sortState xmlns:xlrd2="http://schemas.microsoft.com/office/spreadsheetml/2017/richdata2" ref="A3:E14">
    <sortCondition ref="A3:A14"/>
  </sortState>
  <mergeCells count="7">
    <mergeCell ref="B15:C15"/>
    <mergeCell ref="B16:C16"/>
    <mergeCell ref="A1:E1"/>
    <mergeCell ref="A13:A14"/>
    <mergeCell ref="C13:C14"/>
    <mergeCell ref="D13:D14"/>
    <mergeCell ref="E13:E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2025-12-09T14:02:08Z</dcterms:created>
  <dcterms:modified xsi:type="dcterms:W3CDTF">2025-12-16T19:01:36Z</dcterms:modified>
  <cp:category/>
  <cp:contentStatus/>
</cp:coreProperties>
</file>