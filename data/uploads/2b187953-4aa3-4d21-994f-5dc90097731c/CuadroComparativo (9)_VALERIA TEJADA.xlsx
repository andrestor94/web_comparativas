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suizoargentina365.sharepoint.com/sites/grupoAutomatizacion_licitaciones/Licitaciones/Portales_Web/BAC/"/>
    </mc:Choice>
  </mc:AlternateContent>
  <xr:revisionPtr revIDLastSave="0" documentId="11_B96B2E50981BCE4A09D163858DBD3410B38E0533" xr6:coauthVersionLast="47" xr6:coauthVersionMax="47" xr10:uidLastSave="{00000000-0000-0000-0000-000000000000}"/>
  <bookViews>
    <workbookView xWindow="-108" yWindow="-108" windowWidth="23256" windowHeight="12456"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comparativo'!$G$8:$L$8,'Cuadro comparativo'!$M$8:$R$8,'Cuadro comparativo'!$S$8:$X$8,'Cuadro comparativo'!$Y$8:$AD$8,'Cuadro comparativo'!$AE$8:$AJ$8,'Cuadro comparativo'!$AK$8:$AP$8,'Cuadro comparativo'!$AQ$8:$AV$8,'Cuadro comparativo'!$AW$8:$BB$8,'Cuadro comparativo'!$BC$8:$BH$8,'Cuadro comparativo'!$BI$8:$BN$8,'Cuadro comparativo'!$BO$8:$BT$8,'Cuadro comparativo'!$BU$8:$BZ$8,'Cuadro comparativo'!$CA$8:$CF$8,'Cuadro comparativo'!$CG$8:$CL$8,'Cuadro comparativo'!$CM$8:$CR$8,'Cuadro comparativo'!$CS$8:$CX$8,'Cuadro comparativo'!$CY$8:$DD$8,'Cuadro comparativo'!$DE$8:$DJ$8,'Cuadro comparativo'!$DK$8:$DP$8,'Cuadro comparativo'!$DQ$8:$DV$8,'Cuadro comparativo'!$DW$8:$EB$8,'Cuadro comparativo'!$EC$8:$EH$8,'Cuadro comparativo'!$EI$8:$EN$8,'Cuadro comparativo'!$EO$8:$ET$8,'Cuadro comparativo'!$EU$8:$EZ$8,'Cuadro comparativo'!$FA$8:$FF$8,'Cuadro comparativo'!$FG$8:$FL$8,'Cuadro comparativo'!$FM$8:$FR$8</definedName>
    <definedName name="Titles">'Cuadro comparativo'!$A$8:$F$8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2" l="1"/>
  <c r="P49" i="2"/>
  <c r="V49" i="2"/>
  <c r="AB49" i="2"/>
  <c r="AH49" i="2"/>
  <c r="AN49" i="2"/>
  <c r="AT49" i="2"/>
  <c r="AZ49" i="2"/>
  <c r="BF49" i="2"/>
  <c r="BL49" i="2"/>
  <c r="BR49" i="2"/>
  <c r="BX49" i="2"/>
  <c r="CD49" i="2"/>
  <c r="CJ49" i="2"/>
  <c r="CP49" i="2"/>
  <c r="CV49" i="2"/>
  <c r="DB49" i="2"/>
  <c r="DH49" i="2"/>
  <c r="DN49" i="2"/>
  <c r="DT49" i="2"/>
  <c r="DZ49" i="2"/>
  <c r="EF49" i="2"/>
  <c r="EL49" i="2"/>
  <c r="ER49" i="2"/>
  <c r="EX49" i="2"/>
  <c r="FD49" i="2"/>
  <c r="FJ49" i="2"/>
  <c r="FP49" i="2"/>
</calcChain>
</file>

<file path=xl/sharedStrings.xml><?xml version="1.0" encoding="utf-8"?>
<sst xmlns="http://schemas.openxmlformats.org/spreadsheetml/2006/main" count="976" uniqueCount="523">
  <si>
    <t>Número expediente:</t>
  </si>
  <si>
    <t>EX-2025-34667516-   -GCABA-HGADS</t>
  </si>
  <si>
    <t>Número proceso de compra:</t>
  </si>
  <si>
    <t>434-1356-LPU25</t>
  </si>
  <si>
    <t>Nombre proceso de compra:</t>
  </si>
  <si>
    <t>Adquisición insumos-vendas elásticas y otros</t>
  </si>
  <si>
    <t>Unidad Operativa de Adquisiciones:</t>
  </si>
  <si>
    <t>434 - HTAL.DONACION FRANCISCO SANTOJANNI</t>
  </si>
  <si>
    <t>Fecha de Apertura:</t>
  </si>
  <si>
    <t>15/10/2025</t>
  </si>
  <si>
    <t>Renglón</t>
  </si>
  <si>
    <t>ANTIGUA SAN ROQUE S.R.L.</t>
  </si>
  <si>
    <t>EURO SWISS SA</t>
  </si>
  <si>
    <t>Silvana Graciela Charaf</t>
  </si>
  <si>
    <t>DROGUERIA MARTORANI S.A.</t>
  </si>
  <si>
    <t>DROGMED SRL</t>
  </si>
  <si>
    <t>SUIZO ARGENTINA S.A.</t>
  </si>
  <si>
    <t>SEISEME S.A.</t>
  </si>
  <si>
    <t>Rosenblat Ezequiel</t>
  </si>
  <si>
    <t>RAUL JORGE LEON POGGI</t>
  </si>
  <si>
    <t>DROGUERIA COMARSA S.A.</t>
  </si>
  <si>
    <t>FOC S.R.L.</t>
  </si>
  <si>
    <t>ERNESTO VAN ROSSUM Y COMPAÑIA S.R.L.</t>
  </si>
  <si>
    <t>PROPATO HNOS. S.A.I.C.</t>
  </si>
  <si>
    <t>EGLIS S.A</t>
  </si>
  <si>
    <t>QUIMICA CORDOBA S.A.</t>
  </si>
  <si>
    <t>Luis Alberto Suarez Sucesion</t>
  </si>
  <si>
    <t>UNIC COMPANY SRL</t>
  </si>
  <si>
    <t>DROGUERIA ARTIGAS S.A.</t>
  </si>
  <si>
    <t>Bioforum SRL</t>
  </si>
  <si>
    <t>AP-BIOTECH SRL</t>
  </si>
  <si>
    <t>DEXBOND S.A.</t>
  </si>
  <si>
    <t>CINMOR SRL</t>
  </si>
  <si>
    <t>PHARMA EXPRESS S.A.</t>
  </si>
  <si>
    <t>BIO PROTEC SRL</t>
  </si>
  <si>
    <t xml:space="preserve">DRESS MED SRL </t>
  </si>
  <si>
    <t>Insumos quirurgicos S.R.L</t>
  </si>
  <si>
    <t>R.C. RADIOLOGIA CASTELAR S.R.L.</t>
  </si>
  <si>
    <t>ULTRASCHALL SA</t>
  </si>
  <si>
    <t>Opción</t>
  </si>
  <si>
    <t>Código</t>
  </si>
  <si>
    <t>Descripción</t>
  </si>
  <si>
    <t>Cantidad solicitada</t>
  </si>
  <si>
    <t>Unidad de medida</t>
  </si>
  <si>
    <t>Código Moneda</t>
  </si>
  <si>
    <t>Precio unitario</t>
  </si>
  <si>
    <t>Cantidad ofertada</t>
  </si>
  <si>
    <t>Total por renglón</t>
  </si>
  <si>
    <t>Especificacion técnica</t>
  </si>
  <si>
    <t>Total por renglón en ARS</t>
  </si>
  <si>
    <t xml:space="preserve">1 </t>
  </si>
  <si>
    <t xml:space="preserve">33.08.002.0007.5 </t>
  </si>
  <si>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</si>
  <si>
    <t xml:space="preserve">UNIDAD </t>
  </si>
  <si>
    <t xml:space="preserve">ARS </t>
  </si>
  <si>
    <t xml:space="preserve">Venda elástica autoadhesiva 10 cm x 2,5 mts  Marcas 
Vélez / Aurinco   </t>
  </si>
  <si>
    <t xml:space="preserve">1152000 </t>
  </si>
  <si>
    <t xml:space="preserve">Venda elástica deportiva 10cm x 3mts VENDSUR  PM 1575-3 
</t>
  </si>
  <si>
    <t xml:space="preserve">135656 </t>
  </si>
  <si>
    <t xml:space="preserve">VENDA ELASTICA, marca tensoplast sport, pm 928-324-.  10 cm 
x 2,5 mts.  </t>
  </si>
  <si>
    <t xml:space="preserve">3919600 </t>
  </si>
  <si>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</si>
  <si>
    <t xml:space="preserve">1441144 </t>
  </si>
  <si>
    <t xml:space="preserve">2 </t>
  </si>
  <si>
    <t xml:space="preserve">33.01.002.0052.2 </t>
  </si>
  <si>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</si>
  <si>
    <t xml:space="preserve">Unidad </t>
  </si>
  <si>
    <t xml:space="preserve">Aerocamara neonatal -pouch- AERO100  PM 833-14 </t>
  </si>
  <si>
    <t xml:space="preserve">147000 </t>
  </si>
  <si>
    <t xml:space="preserve">AEROCAMARA , con mascara neonatal. marca Aerospacer ( patejim) pm 
833-14.- </t>
  </si>
  <si>
    <t xml:space="preserve">419700 </t>
  </si>
  <si>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</si>
  <si>
    <t xml:space="preserve">140328 </t>
  </si>
  <si>
    <t xml:space="preserve">Aerocamaras neonatal </t>
  </si>
  <si>
    <t xml:space="preserve">417180 </t>
  </si>
  <si>
    <t xml:space="preserve">AEROCAMARA ESPAC.C/MASC. BIVALV NEONAT MARCA-AEROSPACER PRESENTACION- 1 PM- 1213-3  
</t>
  </si>
  <si>
    <t xml:space="preserve">91778,4 </t>
  </si>
  <si>
    <t xml:space="preserve">AEROCAMARA NEONATAL CON MASCARA CORONET PRESENTACION: X 1 UNID </t>
  </si>
  <si>
    <t xml:space="preserve">134423,4 </t>
  </si>
  <si>
    <t xml:space="preserve">Aerocamara  neonatal -pouch- AERO100 </t>
  </si>
  <si>
    <t xml:space="preserve">200400 </t>
  </si>
  <si>
    <t xml:space="preserve">3 </t>
  </si>
  <si>
    <t xml:space="preserve">33.01.002.0003.7 </t>
  </si>
  <si>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</si>
  <si>
    <t xml:space="preserve">Aguja 12/4 (27G x 1/2) - unidad Marca Vélez - 
Origen Japón </t>
  </si>
  <si>
    <t xml:space="preserve">1524600 </t>
  </si>
  <si>
    <t xml:space="preserve">Aguja hipoderm est desc 13/4 (27 x 1/2) -CJx100- Euromix 
 PM 1440-69 </t>
  </si>
  <si>
    <t xml:space="preserve">100500 </t>
  </si>
  <si>
    <t xml:space="preserve">AGUJA HIPODERMICA De 27 G x 1/2" , marca BD 
pm 634-91. </t>
  </si>
  <si>
    <t xml:space="preserve">2400000 </t>
  </si>
  <si>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</si>
  <si>
    <t xml:space="preserve">83250 </t>
  </si>
  <si>
    <t xml:space="preserve">AGUJA DESCARTABLE 13X4 27GX1/2" MARCA-WEBEST PRESENTACION- 100 PM- 2220-93  
 </t>
  </si>
  <si>
    <t xml:space="preserve">153450 </t>
  </si>
  <si>
    <t xml:space="preserve">AGUJA HIPODÉRMICA CORONET 13/4 (27G X ½) PRESENTACION: CAJA 100 
UN </t>
  </si>
  <si>
    <t xml:space="preserve">102225 </t>
  </si>
  <si>
    <t xml:space="preserve">Aguja hipoderm est desc 13/4 (27 x 1/2) x Unidad 
- JJMD </t>
  </si>
  <si>
    <t xml:space="preserve">150000 </t>
  </si>
  <si>
    <t xml:space="preserve"> AGUJA HIPODERMICA Para usar una única vez. Descartable, estéril, 
atóxica y apirogénica.  Modelo: De 27 G x 1/2" 
(12-4) </t>
  </si>
  <si>
    <t xml:space="preserve">217500 </t>
  </si>
  <si>
    <t xml:space="preserve">AGUJAS DESC. 13/4 (27G X 1/2) "KANG" CAJA X 100 
UNID.PM:661-26 [1]  </t>
  </si>
  <si>
    <t xml:space="preserve">194700 </t>
  </si>
  <si>
    <t xml:space="preserve">AGUJA HIPODÉRMICA CORONET 16/5 (25G X 5/8) PRESENTACION: CAJA 100 
UN </t>
  </si>
  <si>
    <t xml:space="preserve">104325 </t>
  </si>
  <si>
    <t xml:space="preserve">4 </t>
  </si>
  <si>
    <t xml:space="preserve">33.08.001.0005.9 </t>
  </si>
  <si>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</si>
  <si>
    <t xml:space="preserve">APOSITO HIDROCOLOIDE  10 x 10 cm ( translucido) extra 
ino. marca euromix pm 1440-148 o marca pharmaplast pm 1440-158 
segun disponbilidad. </t>
  </si>
  <si>
    <t xml:space="preserve">3968750 </t>
  </si>
  <si>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</si>
  <si>
    <t xml:space="preserve">1652750 </t>
  </si>
  <si>
    <t xml:space="preserve">Apósito hidrocoloide elaborado con carboximetilcelulosa sódica, pectina y gelatina. Fino 
de 10x10cm. Duoderm Extrathin  Cód.187955 Marca Convatec  </t>
  </si>
  <si>
    <t xml:space="preserve">6448500 </t>
  </si>
  <si>
    <t xml:space="preserve">5 </t>
  </si>
  <si>
    <t xml:space="preserve">33.02.002.0009.3 </t>
  </si>
  <si>
    <t xml:space="preserve">CUBREOBJETO    Modelo: De 20,00 x 20,00 mm 
 </t>
  </si>
  <si>
    <t xml:space="preserve">CUBRE OBJETO  BREMEN  (22 X 22) PRESENTACION: CAJA 
1000 UN </t>
  </si>
  <si>
    <t xml:space="preserve">94240 </t>
  </si>
  <si>
    <t xml:space="preserve">Cubreobjeto vidrio 20x20mm x Unidad  </t>
  </si>
  <si>
    <t xml:space="preserve">176000 </t>
  </si>
  <si>
    <t xml:space="preserve"> CUBREOBJETO Modelo: De 20,00 x 20,00 mm MARCA: VIES 
</t>
  </si>
  <si>
    <t xml:space="preserve">1072000 </t>
  </si>
  <si>
    <t xml:space="preserve">CUBRE OBJETOS 20 X 20 (C/100) SAIL [10]  </t>
  </si>
  <si>
    <t xml:space="preserve">118240 </t>
  </si>
  <si>
    <t xml:space="preserve">CUBREOBJETOS Modelo: De 20,00 x 20,00 mm PRECIO X UNIDAD. 
MARCA HDA O SIMILAR. </t>
  </si>
  <si>
    <t xml:space="preserve">263840 </t>
  </si>
  <si>
    <t xml:space="preserve">CUBREOBJETOS VIDRIO 20 x 20mm  SAIL  PM: NO 
REQUIERE </t>
  </si>
  <si>
    <t xml:space="preserve">92800 </t>
  </si>
  <si>
    <t xml:space="preserve">CUBREOBJETOS 20 X 20 SAIL </t>
  </si>
  <si>
    <t xml:space="preserve">140480 </t>
  </si>
  <si>
    <t xml:space="preserve">CUBREOBJETO Modelo: De 20,00 x 20,00 mm, en caja x100 
unidades (Precio por cada cubreobjeto).  Marca Glass/Euromix.- </t>
  </si>
  <si>
    <t xml:space="preserve">387200 </t>
  </si>
  <si>
    <t xml:space="preserve">6 </t>
  </si>
  <si>
    <t xml:space="preserve">33.02.002.0009.5 </t>
  </si>
  <si>
    <t xml:space="preserve">CUBREOBJETO    Modelo: De 24,00 x 36,00 mm 
 </t>
  </si>
  <si>
    <t xml:space="preserve">CUBREOBJETO Modelo: De 24,00 x 36,00 mm . marca Sail 
/ Euromix / parampunt, segun disponbilidad.- </t>
  </si>
  <si>
    <t xml:space="preserve">832000 </t>
  </si>
  <si>
    <t xml:space="preserve">CUBRE OBJETO  BREMEN  (24 X 32 MM) PRESENTACION: 
CAJA 1000 UN </t>
  </si>
  <si>
    <t xml:space="preserve">169440 </t>
  </si>
  <si>
    <t xml:space="preserve">Cubreobjeto vidrio 24x36mm x Unidad - SAIL </t>
  </si>
  <si>
    <t xml:space="preserve">560000 </t>
  </si>
  <si>
    <t xml:space="preserve"> CUBREOBJETO Modelo: De 24,00 x 36,00 mm MARCA: VIES 
</t>
  </si>
  <si>
    <t xml:space="preserve">1598400 </t>
  </si>
  <si>
    <t xml:space="preserve">CUBRE OBJETOS 24 X 36 (C/100) SAIL  </t>
  </si>
  <si>
    <t xml:space="preserve">402560 </t>
  </si>
  <si>
    <t xml:space="preserve">CUBREOBJETOS Modelo: De 24,00 x 36,00 mm PRECIO X UNIDAD 
MARCA HDA O SIMILAR.  </t>
  </si>
  <si>
    <t xml:space="preserve">409600 </t>
  </si>
  <si>
    <t xml:space="preserve">CUBREOBJETOS VIDRIO 24 x 36mm  SAIL  PM: NO 
REQUIERE </t>
  </si>
  <si>
    <t xml:space="preserve">313120 </t>
  </si>
  <si>
    <t xml:space="preserve">(Alternativa) CUBREOBJETO Modelo: De 24,00 x 32,00 mm, en caja 
x100 unidades (Precio por cada cubreobjeto).  Marca Glass/Euromix.- </t>
  </si>
  <si>
    <t xml:space="preserve">662400 </t>
  </si>
  <si>
    <t xml:space="preserve">PATHOGLAS </t>
  </si>
  <si>
    <t xml:space="preserve">1230400 </t>
  </si>
  <si>
    <t xml:space="preserve">7 </t>
  </si>
  <si>
    <t xml:space="preserve">33.02.002.0009.8 </t>
  </si>
  <si>
    <t xml:space="preserve">CUBREOBJETO . Modelo: De 24,00 x 40,00 mm  </t>
  </si>
  <si>
    <t xml:space="preserve">CUBREOBJETO . Modelo: De 24,00 x 40,00 mm. marca Sail 
/ Euromix / parampunt, segun disponbilidad.- </t>
  </si>
  <si>
    <t xml:space="preserve">944000 </t>
  </si>
  <si>
    <t xml:space="preserve">CUBREOBJETOS VIDRIO 24X40MM X 500 MARCA- BREMEN PRESENTACION- 500  
 </t>
  </si>
  <si>
    <t xml:space="preserve">281600 </t>
  </si>
  <si>
    <t xml:space="preserve">CUBRE OBJETO  BREMEN  (24 X 40 MM) PRESENTACION: 
CAJA 500 UN </t>
  </si>
  <si>
    <t xml:space="preserve">179840 </t>
  </si>
  <si>
    <t xml:space="preserve">Cubreobjeto 24x40mm x Unidad - EUROMIX </t>
  </si>
  <si>
    <t xml:space="preserve">400000 </t>
  </si>
  <si>
    <t xml:space="preserve"> CUBREOBJETO . Modelo: De 24,00 x 40,00 mm MARCA: 
VIES </t>
  </si>
  <si>
    <t xml:space="preserve">1913600 </t>
  </si>
  <si>
    <t xml:space="preserve">CUBREOBJETOS Modelo: De 24,00 x 40,00 mm PRECIO X UNIDAD 
MARCA HDA O SIMILAR. </t>
  </si>
  <si>
    <t xml:space="preserve">CUBREOBJETOS 24 X 40 </t>
  </si>
  <si>
    <t xml:space="preserve">CUBREOBJETO . Modelo: De 24,00 x 40,00 mm. en caja 
x100 unidades (Precio por cada cubreobjeto).  Marca Glass/Euromix.- </t>
  </si>
  <si>
    <t xml:space="preserve">800000 </t>
  </si>
  <si>
    <t xml:space="preserve">8 </t>
  </si>
  <si>
    <t xml:space="preserve">33.02.002.0009.6 </t>
  </si>
  <si>
    <t xml:space="preserve">CUBREOBJETO    Modelo: De 24,00 x 48,00 mm 
 </t>
  </si>
  <si>
    <t xml:space="preserve">Cubreobjeto 24x50mm (CJx100u) Euromix </t>
  </si>
  <si>
    <t xml:space="preserve">238400 </t>
  </si>
  <si>
    <t xml:space="preserve">CUBREOBJETO Modelo: De 24,00 x 48,00 mm.  marca Sail 
/ Euromix / parampunt, segun disponbilidad.- </t>
  </si>
  <si>
    <t xml:space="preserve">872000 </t>
  </si>
  <si>
    <t xml:space="preserve">CUBRE OBJETO  BREMEN  (24 X 50 MM) PRESENTACION: 
CAJA 500 UN </t>
  </si>
  <si>
    <t xml:space="preserve">228320 </t>
  </si>
  <si>
    <t xml:space="preserve">Cubreobjetos vidrio 24x48 x Unidad - SAIL </t>
  </si>
  <si>
    <t xml:space="preserve">592000 </t>
  </si>
  <si>
    <t xml:space="preserve"> CUBREOBJETO Modelo: De 24,00 x 48,00 mm MARCA: VIES 
</t>
  </si>
  <si>
    <t xml:space="preserve">1696000 </t>
  </si>
  <si>
    <t xml:space="preserve">CUBREOBJETOS Modelo: De 24,00 x 48,00 mm PRECIO X UNIDAD 
MARCA HDA O SIMILAR. </t>
  </si>
  <si>
    <t xml:space="preserve">824160 </t>
  </si>
  <si>
    <t xml:space="preserve">CUBREOBJETOS VIDRIO 24 x 48mm  SAIL PM: NO REQUIERE 
</t>
  </si>
  <si>
    <t xml:space="preserve">329280 </t>
  </si>
  <si>
    <t xml:space="preserve">CUBREOBJETOS 24 X 48 SAIL </t>
  </si>
  <si>
    <t xml:space="preserve">507360 </t>
  </si>
  <si>
    <t xml:space="preserve">(Alternativa) CUBREOBJETO Modelo: De 24,00 x 50,00 mm, en caja 
x100 unidades (Precio por cada cubreobjeto).  Marca Glass/Euromix.- </t>
  </si>
  <si>
    <t xml:space="preserve">1100800 </t>
  </si>
  <si>
    <t xml:space="preserve">1328000 </t>
  </si>
  <si>
    <t xml:space="preserve">9 </t>
  </si>
  <si>
    <t xml:space="preserve">33.07.003.0743.1 </t>
  </si>
  <si>
    <t xml:space="preserve">FILTRO ANTIBACTERIANO  . Modelo: Para Bennet MA 1 e 
Infrasonic código 6308. Descartable. Envasado individualmente en envase que garantice 
su conservación. Referencia comercial Omnifilter  </t>
  </si>
  <si>
    <t xml:space="preserve">FILTRO ANTIBACTERIANO . Modelo: Para Bennet MA 1 e Infrasonic 
código 6308. Descartable. Envasado individualmente en envase que garantice su 
conservación. Referencia comercial Omnifilter  MARCA: PHARMACARE  </t>
  </si>
  <si>
    <t xml:space="preserve">3158200 </t>
  </si>
  <si>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</si>
  <si>
    <t xml:space="preserve">7140000 </t>
  </si>
  <si>
    <t xml:space="preserve">10 </t>
  </si>
  <si>
    <t xml:space="preserve">33.02.002.0025.2 </t>
  </si>
  <si>
    <t xml:space="preserve">HISOPO    Modelo: De madera y algodón no 
estéril.  </t>
  </si>
  <si>
    <t xml:space="preserve">HISOPO Modelo: De madera y algodón no estéril.  MARCA: 
AURINCO  </t>
  </si>
  <si>
    <t xml:space="preserve">209700 </t>
  </si>
  <si>
    <t xml:space="preserve"> HISOPO Modelo: De madera y algodón no estéril. Envase 
x 100 u  </t>
  </si>
  <si>
    <t xml:space="preserve">2835000 </t>
  </si>
  <si>
    <t xml:space="preserve">HISOPOS VAGINALES (CADA 100) LARGO 15 CM LISFAR PM 788-21 
[1]  </t>
  </si>
  <si>
    <t xml:space="preserve">287700 </t>
  </si>
  <si>
    <t xml:space="preserve">HISOPOS DE MADERA Y ALGODON Modelo: De madera y algodón 
no estériles Observaciones: Envase x 100 unidades. PRECIO X UNIDAD. 
MARCA LABZ O SIMILAR. </t>
  </si>
  <si>
    <t xml:space="preserve">402000 </t>
  </si>
  <si>
    <t xml:space="preserve">HISOPO DESCARTABLE DE MADERA Y ALGODÓN </t>
  </si>
  <si>
    <t xml:space="preserve">726000 </t>
  </si>
  <si>
    <t xml:space="preserve">HISOPO Modelo: De madera y algodón no estéril, en envase 
x100 unidades (Precio por cada hisopo).  Marca BLC/Aurinco.- </t>
  </si>
  <si>
    <t xml:space="preserve">489000 </t>
  </si>
  <si>
    <t xml:space="preserve">11 </t>
  </si>
  <si>
    <t xml:space="preserve">33.01.002.0280.21 </t>
  </si>
  <si>
    <t xml:space="preserve">TUBULADURA . Modelo: Para respirador Drager Evita, con trampa de 
agua y pieza triple y filtros, completa, descartable, para adulto 
 </t>
  </si>
  <si>
    <t xml:space="preserve">TUBULADURA . Modelo: Para respirador Drager Evita, con trampa de 
agua y pieza triple y filtros, completa, descartable, para adulto 
 MARCA: AURINCO  </t>
  </si>
  <si>
    <t xml:space="preserve">6773350 </t>
  </si>
  <si>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</si>
  <si>
    <t xml:space="preserve">22480000 </t>
  </si>
  <si>
    <t xml:space="preserve">12 </t>
  </si>
  <si>
    <t xml:space="preserve">33.01.002.0280.51 </t>
  </si>
  <si>
    <t xml:space="preserve">CIRCUITO  . Modelo: Tubuladura corrugada de 22 mm, segmentada 
para facilitar la incorporación de trampa de agua u otros 
dispositivos. Línea de presión proximal de 88 x 1/4, descartable 
 </t>
  </si>
  <si>
    <t xml:space="preserve">Sistema de respiración de alma lisa de 22 mm con 
línea de monitorización y válvula de exhalación, 1,6 m Presentación: 
caja de 20 unidades Ref 5183000. Marca Intersurgical </t>
  </si>
  <si>
    <t xml:space="preserve">13760000 </t>
  </si>
  <si>
    <t xml:space="preserve">13 </t>
  </si>
  <si>
    <t xml:space="preserve">33.01.002.0411.1 </t>
  </si>
  <si>
    <t xml:space="preserve">SET PARA ANESTESIA PERIDURAL  . Modelo: De 16 G 
x 80 mm, jeringa de vidrio de 10 cm3, tres 
elementos: catéter radiopaco multifenestrado, filtro y conector  </t>
  </si>
  <si>
    <t xml:space="preserve">SET ANEST.PERIDURAL MAXI 16G AGJ/CAT/FIL/LOR  PS ANESTHESIA  NO 
contiene jeringa de vidrio  PM-1583-6 / PM-1583-15 </t>
  </si>
  <si>
    <t xml:space="preserve">5045885,6 </t>
  </si>
  <si>
    <t xml:space="preserve">ALTERNATIVA 1 SET PERIFIX 402 - SET CON FILTRO: PERIFIX 
STD 19G, PERICAN 16G, PERIFIX FILTER, CONECTOR, JERINGA LOR REFERENCIA: 
4514025 MARCA: B.BRAUN PM: 669-08 PRESENTACION: CAJA X 20 UNIDADES. 
</t>
  </si>
  <si>
    <t xml:space="preserve">5457200 </t>
  </si>
  <si>
    <t xml:space="preserve">ALTERNATIVA 2 SET PERIFIX ONE 402 - SET CON FILTRO: 
PERIFIX ONE 19G, PERICAN 16G, PERIFIX FILTER, CONECTOR, JERINGA LOR 
Y PIN PAD REFERENCIA: 4514025C B.BRAUN PRESENTACION: CAJA X 20 
UNIDADES PM:669-08 </t>
  </si>
  <si>
    <t xml:space="preserve">5625480 </t>
  </si>
  <si>
    <t xml:space="preserve">14 </t>
  </si>
  <si>
    <t xml:space="preserve">33.01.002.0411.2 </t>
  </si>
  <si>
    <t xml:space="preserve">SET PARA ANESTESIA PERIDURAL  . Modelo: De 18 G 
x 80 mm, jeringa de vidrio de 10 cm3, tres 
elementos: catéter radiopaco multifenestrado, filtro y conector  </t>
  </si>
  <si>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</si>
  <si>
    <t xml:space="preserve">4652356,8 </t>
  </si>
  <si>
    <t xml:space="preserve">ALTERNATIVA 1 SET PERIFIX 401 - SET CON FILTRO: PERIFIX 
STD20G, PERICAN 18G, PERIFIX FILTER, CONECTOR, JERINGA LOR REFERENCIA: 4514017 
MARCA: B.BRAUN PRESENTACION: CAJA X 20 UNIDADES PM:669-08 </t>
  </si>
  <si>
    <t xml:space="preserve">15 </t>
  </si>
  <si>
    <t xml:space="preserve">33.01.002.0299.14 </t>
  </si>
  <si>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</si>
  <si>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</si>
  <si>
    <t xml:space="preserve">15923850 </t>
  </si>
  <si>
    <t xml:space="preserve"> CATETER PARA PUNCION VENOSA CENTRAL - TRIPLE VIA (SET) 
- de 7 Fr, de calibre uno 16G y y 
dos de 18G, sin introductor y aguja introductora de 18G 
MARCA: ARROW </t>
  </si>
  <si>
    <t xml:space="preserve">116396400 </t>
  </si>
  <si>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</si>
  <si>
    <t xml:space="preserve">57855000 </t>
  </si>
  <si>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</si>
  <si>
    <t xml:space="preserve">25200000 </t>
  </si>
  <si>
    <t xml:space="preserve">16 </t>
  </si>
  <si>
    <t xml:space="preserve">33.07.003.0112.39 </t>
  </si>
  <si>
    <t xml:space="preserve">AZUR EOSINA - AZUL DE METILENO  Litro   
Modelo: Según Giemsa  </t>
  </si>
  <si>
    <t xml:space="preserve">EOSINA - AZUL DE METILENO Litro Modelo: Según SOLUCION SEGUN 
GIEMSA ENVASE X LITRO. MARCA BIOPACK. </t>
  </si>
  <si>
    <t xml:space="preserve">217068 </t>
  </si>
  <si>
    <t xml:space="preserve">AZUR EOSINA - AZUL DE METILENO Litro Modelo: Según Giemsa 
x1 Lt.  Marca Biopack.- </t>
  </si>
  <si>
    <t xml:space="preserve">371400 </t>
  </si>
  <si>
    <t xml:space="preserve">17 </t>
  </si>
  <si>
    <t xml:space="preserve">33.07.003.0482.1 </t>
  </si>
  <si>
    <t xml:space="preserve">COLORANTE MAY GRUNWALD . Modelo: Para hemograma  </t>
  </si>
  <si>
    <t xml:space="preserve">biopack </t>
  </si>
  <si>
    <t xml:space="preserve">687996 </t>
  </si>
  <si>
    <t xml:space="preserve">COLORANTE MAY GRUNWALD Modelo: Para hemograma ENVASE X LITRO. MARCA 
BIOPACK.  </t>
  </si>
  <si>
    <t xml:space="preserve">228378 </t>
  </si>
  <si>
    <t xml:space="preserve">COLORANTE MAY GRUNWALD . Modelo: Para hemograma x1 Lt.  
Marca Biopack.- </t>
  </si>
  <si>
    <t xml:space="preserve">390720 </t>
  </si>
  <si>
    <t xml:space="preserve">18 </t>
  </si>
  <si>
    <t xml:space="preserve">33.07.003.0072.2 </t>
  </si>
  <si>
    <t xml:space="preserve">SOLUCION HEMATOXILINA . Modelo: Según Harris Tipo: Según Harris  
</t>
  </si>
  <si>
    <t xml:space="preserve"> SOLUCION HEMATOXILINA . Modelo: Según Harris MARCA: BIOPACK </t>
  </si>
  <si>
    <t xml:space="preserve">2363988 </t>
  </si>
  <si>
    <t xml:space="preserve">SOLUCION HEMATOXILINA Modelo Según Harris Tipo: Según Harris ENVASE X 
LITRO. MARCA BIOPACK. </t>
  </si>
  <si>
    <t xml:space="preserve">1114056 </t>
  </si>
  <si>
    <t xml:space="preserve">SOLUCION HEMATOXILINA . Modelo: Según Harris Tipo: Según Harris x1 
Lt.  Marca Biopack.- </t>
  </si>
  <si>
    <t xml:space="preserve">1906080 </t>
  </si>
  <si>
    <t xml:space="preserve">19 </t>
  </si>
  <si>
    <t xml:space="preserve">33.01.002.0413.1 </t>
  </si>
  <si>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</si>
  <si>
    <t xml:space="preserve">Sonda t/K 29P (12fr) PVC esteril p/ aspiración mucus WELL 
LEAD  PM 1440-132 </t>
  </si>
  <si>
    <t xml:space="preserve">242928 </t>
  </si>
  <si>
    <t xml:space="preserve">SONDA PARA ASPIRACION DE MUCUS Y/O ADMINISTRACION DE OXIGENO K 
29 P. marca koler pm 179-15. descartable, esteril , doble 
bolsa.- </t>
  </si>
  <si>
    <t xml:space="preserve">2097000 </t>
  </si>
  <si>
    <t xml:space="preserve">SONDA OXIGENO/SUC.MUCUS 4M T/K29P C/REG. MARCA-KOLER PRESENTACION 1  PM- 
179-15   </t>
  </si>
  <si>
    <t xml:space="preserve">858204 </t>
  </si>
  <si>
    <t xml:space="preserve">Sonda t/K 29P (12fr) PVC est p/asp mucus - WELLEAD 
</t>
  </si>
  <si>
    <t xml:space="preserve">418500 </t>
  </si>
  <si>
    <t xml:space="preserve"> SONDA PARA ASPIRACION DE MUCUS Y/O ADMINISTRACION DE OXIGENO, 
Modelo: K 29 P MARCA: KOLLER </t>
  </si>
  <si>
    <t xml:space="preserve">1439100 </t>
  </si>
  <si>
    <t xml:space="preserve">20 </t>
  </si>
  <si>
    <t xml:space="preserve">33.07.003.0015.3 </t>
  </si>
  <si>
    <t xml:space="preserve">TIRA REACTIVA PARA REACCIONES EN ORINA En rollo   
Modelo: Con doce áreas reactivas, para medición de glucosa, bilirrubina, 
cetonas, proteínas, sangre, urobilinógeno,   pH, densidad, nitritos, color 
y aspecto  </t>
  </si>
  <si>
    <t xml:space="preserve"> TIRA REACTIVA PARA REACCIONES EN ORINA MARCA: ACON </t>
  </si>
  <si>
    <t xml:space="preserve">1333290 </t>
  </si>
  <si>
    <t xml:space="preserve">Tiras de orina marca Erba Dekaphan Laura. Presentación cajas por 
100 unidades. </t>
  </si>
  <si>
    <t xml:space="preserve">6420000 </t>
  </si>
  <si>
    <t xml:space="preserve">21 </t>
  </si>
  <si>
    <t xml:space="preserve">33.15.004.0009.8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</si>
  <si>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</si>
  <si>
    <t xml:space="preserve">AMBO TALLE M  MARCA- COVERLINE  PM 2443-4  
</t>
  </si>
  <si>
    <t xml:space="preserve">1308432 </t>
  </si>
  <si>
    <t xml:space="preserve">AMBOS DESCART. SMS 45 c/ bolsillos TAMAÑO "M" NOK COD.300 
  PM: 2568-125 [10]  </t>
  </si>
  <si>
    <t xml:space="preserve">2087988 </t>
  </si>
  <si>
    <t xml:space="preserve">ROPA AMBO MEDIANO N/EST.  EBANO   PM-2365-1 </t>
  </si>
  <si>
    <t xml:space="preserve">2885226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</si>
  <si>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</si>
  <si>
    <t xml:space="preserve">3000000 </t>
  </si>
  <si>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</si>
  <si>
    <t xml:space="preserve">1350000 </t>
  </si>
  <si>
    <t xml:space="preserve">Ambo Para Cirugia de Un Solo Uso - Talle Mediano 
</t>
  </si>
  <si>
    <t xml:space="preserve">2026800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</si>
  <si>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</si>
  <si>
    <t xml:space="preserve">954000 </t>
  </si>
  <si>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</si>
  <si>
    <t xml:space="preserve">978000 </t>
  </si>
  <si>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</si>
  <si>
    <t xml:space="preserve">863940 </t>
  </si>
  <si>
    <t xml:space="preserve">AMBO PARA CIRUGIA DE UN SOLO USOEspecifi caciones de la 
tela: SMS de usomédico de 47g/m2 (+/- 5%), de color 
notransparente. CASACA 1) Delantero: liso, 2bolsillos plaqué inferiores, faldón recto. 
TALLE M HEALTHY  </t>
  </si>
  <si>
    <t xml:space="preserve">1139400 </t>
  </si>
  <si>
    <t xml:space="preserve">22 </t>
  </si>
  <si>
    <t xml:space="preserve">33.15.004.0009.7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</si>
  <si>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</si>
  <si>
    <t xml:space="preserve">AMBO TALLE M MARCA- COVERLINE  PM 2443-4-   
</t>
  </si>
  <si>
    <t xml:space="preserve">1409640 </t>
  </si>
  <si>
    <t xml:space="preserve">AMBOS DESCART. SMS 45 c/bolsillos TAMAÑO "XL" NOK  COD.4500 
 PM: 2568-125 [10]  </t>
  </si>
  <si>
    <t xml:space="preserve">2518188 </t>
  </si>
  <si>
    <t xml:space="preserve">ROPA AMBO EXTRA LARGE N/EST. EBANO   PM-2365-1 </t>
  </si>
  <si>
    <t xml:space="preserve">3121044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</si>
  <si>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</si>
  <si>
    <t xml:space="preserve">3174000 </t>
  </si>
  <si>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</si>
  <si>
    <t xml:space="preserve">Ambo Para Cirugia de Un Solo Uso - Talle Extra 
Grande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</si>
  <si>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</si>
  <si>
    <t xml:space="preserve">1047600 </t>
  </si>
  <si>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</si>
  <si>
    <t xml:space="preserve">1068000 </t>
  </si>
  <si>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</si>
  <si>
    <t xml:space="preserve">AMBO PARA CIRUGIA DE UN SOLO USOEspecifi caciones de la 
tela: SMS de usomédico de 47g/m2 (+/- 5%), de color 
notransparente. CASACA 1) Delantero: liso, 2bolsillos plaqué inferiores, faldón recto 
TALLE GRANDE HEALTHY  </t>
  </si>
  <si>
    <t xml:space="preserve">23 </t>
  </si>
  <si>
    <t xml:space="preserve">33.15.004.0009.10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</si>
  <si>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</si>
  <si>
    <t xml:space="preserve">AMBO TALLE L  MARCA- COVERLINE  PM 2443-4  
</t>
  </si>
  <si>
    <t xml:space="preserve">1366266 </t>
  </si>
  <si>
    <t xml:space="preserve">AMBOS DESCART. SMS 45 c/ bolsillos TAMAÑO "L" NOK COD.310 
  PM: 2568-125 [10]  </t>
  </si>
  <si>
    <t xml:space="preserve">2333988 </t>
  </si>
  <si>
    <t xml:space="preserve">ROPA AMBO LARGE N/EST. EBANO  PM-2365-1 </t>
  </si>
  <si>
    <t xml:space="preserve">3418590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</si>
  <si>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</si>
  <si>
    <t xml:space="preserve">3090000 </t>
  </si>
  <si>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</si>
  <si>
    <t xml:space="preserve">AMBO PARA CIRUGIA DE UN SOLO USO - Talle Grande. 
</t>
  </si>
  <si>
    <t xml:space="preserve">2192400 </t>
  </si>
  <si>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</si>
  <si>
    <t xml:space="preserve">972000 </t>
  </si>
  <si>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</si>
  <si>
    <t xml:space="preserve">984000 </t>
  </si>
  <si>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</si>
  <si>
    <t xml:space="preserve">AMBO PARA CIRUGIA DE UN SOLO USOEspecifi caciones de la 
tela: SMS de usomédico de 47g/m2 (+/- 5%), de color 
notransparente. CASACA 1) Delantero: liso, 2bolsillos plaqué inferiores, faldón recto. 
TALLE GRANDE HEALTHY  </t>
  </si>
  <si>
    <t xml:space="preserve">24 </t>
  </si>
  <si>
    <t xml:space="preserve">33.15.004.0007.25 </t>
  </si>
  <si>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</si>
  <si>
    <t xml:space="preserve">EQUIPO ALTO RIESGO BIOSEGURIDAD  MARCA COVERLINE  PM 2443-14 
 </t>
  </si>
  <si>
    <t xml:space="preserve">6325301,25 </t>
  </si>
  <si>
    <t xml:space="preserve">ROPA EQ.CIRUGIA ALTO RIESGO ESTERIL EBANO  PM-2365-2  </t>
  </si>
  <si>
    <t xml:space="preserve">5381441,25 </t>
  </si>
  <si>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</si>
  <si>
    <t xml:space="preserve">7375000 </t>
  </si>
  <si>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</si>
  <si>
    <t xml:space="preserve">5782750 </t>
  </si>
  <si>
    <t xml:space="preserve">Equipo Para Cirugia de Alto Riesgo </t>
  </si>
  <si>
    <t xml:space="preserve">3805000 </t>
  </si>
  <si>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</si>
  <si>
    <t xml:space="preserve">3712125 </t>
  </si>
  <si>
    <t xml:space="preserve">EQUIPO PARA CIRUGIA DE ALTO RIESGO -BIOSEGURIDAD DE UN SOLO 
USO TIPO 1ESPECIFICACIONES DE LA TELA:confeccionado en tela no tejida 
barrera viralbacteriana.  </t>
  </si>
  <si>
    <t xml:space="preserve">4950000 </t>
  </si>
  <si>
    <t xml:space="preserve">25 </t>
  </si>
  <si>
    <t xml:space="preserve">33.01.002.0528.1 </t>
  </si>
  <si>
    <t xml:space="preserve">APIROFUSOR .. Modelo: De 500 ml de capacidad, sachet flexible, 
elaborado en polietileno apto para uso medicinal, estéril y atóxico, 
para drenaje quirúrgico, de un solo uso. Envasado individualmente, en 
envase que garantice su conservación.  </t>
  </si>
  <si>
    <t xml:space="preserve">Aspirofusor desc 500cc BIOREC ADYC  PM 1151-4 </t>
  </si>
  <si>
    <t xml:space="preserve">699500 </t>
  </si>
  <si>
    <t xml:space="preserve">APIROFUSOR .. Modelo: De 500 ml de capacidad, sachet flexible, 
elaborado en polietileno apto para uso medicinal, estéril y atóxico, 
para drenaje quirúrgico, de un solo uso. Envasado individualmente, en 
envase que garantice su conservación.. marca biorec pm 1151-4.- </t>
  </si>
  <si>
    <t xml:space="preserve">1556500 </t>
  </si>
  <si>
    <t xml:space="preserve">APIROFUSOR .. Modelo: De 500 ml de capacidad, sachet flexible, 
elaborado en polietileno apto para uso medicinal, estéril y atóxico, 
para drenaje quirúrgico, de un solo uso. Envasado individualmente, en 
envase que garantice su conservación.  MARCA: SUCTION  </t>
  </si>
  <si>
    <t xml:space="preserve">598450 </t>
  </si>
  <si>
    <t xml:space="preserve">SACHET ASPIRATIVO HEMOSUCTOR 500 CC  BIOREC esteril  PM:1151-4 
(TIPO SUCTION) aspirofusor [1]  </t>
  </si>
  <si>
    <t xml:space="preserve">769060 </t>
  </si>
  <si>
    <t xml:space="preserve">BOMBA DRENAJE QUIR.FLUIDO ABDOMINAL 500ml  ADYC  PM-1151-4  
</t>
  </si>
  <si>
    <t xml:space="preserve">864285 </t>
  </si>
  <si>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</si>
  <si>
    <t xml:space="preserve">2012500 </t>
  </si>
  <si>
    <t xml:space="preserve">26 </t>
  </si>
  <si>
    <t xml:space="preserve">33.01.002.0050.21 </t>
  </si>
  <si>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</si>
  <si>
    <t xml:space="preserve">Aguja espinal pta lapiz  25G 3½"  c/introd MCM 
  PM 1440-67 </t>
  </si>
  <si>
    <t xml:space="preserve">1278750 </t>
  </si>
  <si>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</si>
  <si>
    <t xml:space="preserve">1097450 </t>
  </si>
  <si>
    <t xml:space="preserve">aguja de punción punta lápiz 25G </t>
  </si>
  <si>
    <t xml:space="preserve">4875000 </t>
  </si>
  <si>
    <t xml:space="preserve">AGUJA ESPINAL PTA LAPIZ C/INTR 25GX3.1/2" WHITACRE MARCA-BD PRESENTACION- 1 
 PM- 634-200   </t>
  </si>
  <si>
    <t xml:space="preserve">9384547,5 </t>
  </si>
  <si>
    <t xml:space="preserve">Aguja espinal pta lapiz  25G 3½"  c/introd - 
MCM </t>
  </si>
  <si>
    <t xml:space="preserve">2242500 </t>
  </si>
  <si>
    <t xml:space="preserve">MARCA MCM </t>
  </si>
  <si>
    <t xml:space="preserve">2997000 </t>
  </si>
  <si>
    <t xml:space="preserve">AGUJAS ESPINALES PTA.LAPIZ 25 G SHANGHAI KINDLY (KDL) C/INTRODUCTOR PM: 
661-21 [100]  </t>
  </si>
  <si>
    <t xml:space="preserve">2060985 </t>
  </si>
  <si>
    <t xml:space="preserve">PENCAN (25G X 88 MM ) CON INTRODUCTOR: AGUJA PARA 
ANESTESIA RAQUIDEA, PUNTA LAPIZ REF.4502043-13. PRESENTACION: CAJA X 25 UNIDADES.MARCA: 
B.BRAUN PM:669-40. </t>
  </si>
  <si>
    <t xml:space="preserve">6274575 </t>
  </si>
  <si>
    <t xml:space="preserve">27 </t>
  </si>
  <si>
    <t xml:space="preserve">33.01.004.0002.30 </t>
  </si>
  <si>
    <t xml:space="preserve">PAPEL TERMOSENSIBLE PARA MONITOR FETAL. Demás especificaciones deberán ser indicadas 
por la repartición solicitante. Modelo: Hoja de 130 mm x 
100 mm, para monitor fetal BISTOS, BT300  </t>
  </si>
  <si>
    <t xml:space="preserve">Papel p/m fetal resma 130x100mm x 200h p/Bistos (BT300) GRAPHIC 
CHARTS </t>
  </si>
  <si>
    <t xml:space="preserve">384240 </t>
  </si>
  <si>
    <t xml:space="preserve">PAPEL TERMOSENSIBLE PARA MONITOR FETAL, Hoja de 130 mm x 
100 mm - MARCA SENSITHERM </t>
  </si>
  <si>
    <t xml:space="preserve">663920 </t>
  </si>
  <si>
    <t xml:space="preserve">PAPEL P/MONITOREO FETAL 130X100X200 P/MODELO BT300   COD BT3 
[10]  </t>
  </si>
  <si>
    <t xml:space="preserve">467516,8 </t>
  </si>
  <si>
    <t xml:space="preserve">PAPEL TERMOSENSIBLE PARA MONITOR FETAL, Hoja de 130 mm x 
100 mm, para monitor fetal BISTOS, BT300.  Marca Sensiterm.- 
</t>
  </si>
  <si>
    <t xml:space="preserve">723680 </t>
  </si>
  <si>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</si>
  <si>
    <t xml:space="preserve">440000 </t>
  </si>
  <si>
    <t xml:space="preserve">28 </t>
  </si>
  <si>
    <t xml:space="preserve">33.01.004.0001.28 </t>
  </si>
  <si>
    <t xml:space="preserve">PAPEL TERMOSENSIBLE PARA ELECTROCARDIOGRAFO . Modelo: Marca Fukuda Visocardine. De 
50 mm de ancho x 30 m de largo, con 
grilla impresa, impresión externa  </t>
  </si>
  <si>
    <t xml:space="preserve">PAPEL ECG 50MM X 30MTS MARCA-SENSITHERM PRESENTACION- 10  </t>
  </si>
  <si>
    <t xml:space="preserve">198264 </t>
  </si>
  <si>
    <t xml:space="preserve">Papel p/ECG rollo  50mm x 30mts - SENSITHERM </t>
  </si>
  <si>
    <t xml:space="preserve">288000 </t>
  </si>
  <si>
    <t xml:space="preserve">PAPEL TERMOSENSIBLE PARA ELECTROCARDIOGRAFO, De 50 mm de ancho x 
30 m de largo, con grilla impresa, impresión externa - 
MARCA SENSITHERM </t>
  </si>
  <si>
    <t xml:space="preserve">393200 </t>
  </si>
  <si>
    <t xml:space="preserve">PAPEL ELECTRO 50 MM X 30 MTS. CARDIOCHARTS (TIPO FUKUDA) 
  COD Q2 [10]  </t>
  </si>
  <si>
    <t xml:space="preserve">311576 </t>
  </si>
  <si>
    <t xml:space="preserve">PAPEL ECG TERMOSEN.IMP.INT.50x30 FUKUDATOSH-CARD. CARDIO CHARTS  PM: NO REQUIERE 
</t>
  </si>
  <si>
    <t xml:space="preserve">338800 </t>
  </si>
  <si>
    <t xml:space="preserve">PAPEL TERMOSENSIBLE PARA ELECTROCARDIOGRAFO. Marca Fukuda Visocardine. De 50 mm 
de ancho x 30 m de largo, con grilla impresa, 
impresión externa  Marca Sensiterm.- </t>
  </si>
  <si>
    <t xml:space="preserve">325100 </t>
  </si>
  <si>
    <t xml:space="preserve">29 </t>
  </si>
  <si>
    <t xml:space="preserve">33.02.002.0009.13 </t>
  </si>
  <si>
    <t xml:space="preserve">CUBREOBJETO . Modelo: De 18 x 18 mm  </t>
  </si>
  <si>
    <t xml:space="preserve">CUBRE OBJETO  BREMEN  (18 X 18 MM) PRESENTACION: 
CAJA 1000 UN </t>
  </si>
  <si>
    <t xml:space="preserve">86720 </t>
  </si>
  <si>
    <t xml:space="preserve">CUBRE OBJETOS 18 X 18 (C/100) SAIL [10]  </t>
  </si>
  <si>
    <t xml:space="preserve">134720 </t>
  </si>
  <si>
    <t xml:space="preserve">CUBREOBJETOS Modelo: De 18 x 18 mm PRECIO X UNIDAD. 
MARCA HDA O SIMILAR. </t>
  </si>
  <si>
    <t xml:space="preserve">200000 </t>
  </si>
  <si>
    <t xml:space="preserve">CUBREOBJETOS VIDRIO 18 x 18mm  SAIL PM: NO REQUIERE 
 </t>
  </si>
  <si>
    <t xml:space="preserve">104640 </t>
  </si>
  <si>
    <t xml:space="preserve">CUBREOBJETOS 18 x 18 TUBLOOD </t>
  </si>
  <si>
    <t xml:space="preserve">176320 </t>
  </si>
  <si>
    <t xml:space="preserve">CUBREOBJETO . Modelo: De 18 x 18 mm, en caja 
x100 unidades (Precio por cada cubreobjeto)  Marca Glass/Euromix.- </t>
  </si>
  <si>
    <t xml:space="preserve">355200 </t>
  </si>
  <si>
    <t xml:space="preserve">30 </t>
  </si>
  <si>
    <t xml:space="preserve">33.01.002.0111.4 </t>
  </si>
  <si>
    <t xml:space="preserve">BOQUILLA PARA ESPIROMETRIA Elaborada en cartón blanco descartable. Acondicionadas en 
cajas de no más de 200 unidades.   Modelo: 
De 66 x 30 mm  </t>
  </si>
  <si>
    <t xml:space="preserve">Boquilla p/espirometría 30mm </t>
  </si>
  <si>
    <t xml:space="preserve">1001700 </t>
  </si>
  <si>
    <t xml:space="preserve">BOQUILLA PARA ESPIROMETRIA Elaborada en cartón blanco descartable. Acondicionadas en 
cajas de no más de 200 unidades. Modelo: De 66 
x 30 mm o 66 x 30,5 mm segun necedidad.. 
</t>
  </si>
  <si>
    <t xml:space="preserve">1290000 </t>
  </si>
  <si>
    <t xml:space="preserve">BOQUILLA PARA ESPIROMETRIA Elaborada en cartón blanco descartable. Acondicionadas en 
cajas de no más de 200 unidades. Modelo: De 66 
x 30 mm  MARCA: SM </t>
  </si>
  <si>
    <t xml:space="preserve">681900 </t>
  </si>
  <si>
    <t xml:space="preserve"> BOQUILLA PARA ESPIROMETRIA, De 66 x 30 mm CAJA 
x 200u. </t>
  </si>
  <si>
    <t xml:space="preserve">5388000 </t>
  </si>
  <si>
    <t xml:space="preserve">BOQUILLA P/ESPIROMETRIA (M) 30 MM DIAMETRO K-30-M / K28F IA 
N.R [200]  </t>
  </si>
  <si>
    <t xml:space="preserve">958920 </t>
  </si>
  <si>
    <t xml:space="preserve">31 </t>
  </si>
  <si>
    <t xml:space="preserve">33.02.002.0027.1 </t>
  </si>
  <si>
    <t xml:space="preserve">PORTAOBJETO . Modelo: De 75 x 25 mm, esmerilado  
</t>
  </si>
  <si>
    <t xml:space="preserve">PORTAOBJETO . Modelo: De 75 x 25 mm, esmerilado, marca 
sail o eromix . </t>
  </si>
  <si>
    <t xml:space="preserve">4788000 </t>
  </si>
  <si>
    <t xml:space="preserve">PORTAOBJETO . Modelo: De 75 x 25 mm, esmerilado  
MARCA: SUTULAB </t>
  </si>
  <si>
    <t xml:space="preserve">1912800 </t>
  </si>
  <si>
    <t xml:space="preserve">PORTA OBJETO BORDE PULIDO 7101 BREMEN PRESENTACION: CAJA X 50 
UN </t>
  </si>
  <si>
    <t xml:space="preserve">1594800 </t>
  </si>
  <si>
    <t xml:space="preserve">Portaobjeto vidrio 75x25mm esmerilado - SAIL </t>
  </si>
  <si>
    <t xml:space="preserve"> PORTAOBJETO . Modelo: De 75 x 25 mm, esmerilado, 
Envase x 100 u </t>
  </si>
  <si>
    <t xml:space="preserve">10620000 </t>
  </si>
  <si>
    <t xml:space="preserve">PORTAOBJETOS  BORDE ESMERILADO (CAJA X 50 UN.)   
(EVR) [50]  </t>
  </si>
  <si>
    <t xml:space="preserve">4886400 </t>
  </si>
  <si>
    <t xml:space="preserve">PORTAOBJETOS CODIGO 7101 Modelo: De 75 x 25 mm esmerilado 
Observaciones: Envase x 100 unidades PRECIO X UNIDAD MARCA HDA 
O SIMILAR. </t>
  </si>
  <si>
    <t xml:space="preserve">2274000 </t>
  </si>
  <si>
    <t xml:space="preserve">PORTAOBJETOS VIDRIO 75 x 25mm ESMERILADO 7101 SAIL  PM: 
NO REQUIERE </t>
  </si>
  <si>
    <t xml:space="preserve">1972200 </t>
  </si>
  <si>
    <t xml:space="preserve">PORTAOBJETOS BORDE ESMERILADO TUBLOOD </t>
  </si>
  <si>
    <t xml:space="preserve">3174600 </t>
  </si>
  <si>
    <t xml:space="preserve">PORTAOBJETO . Modelo: De 75 x 25 mm, esmerilado, en 
caja x50 unidades (Precio por cada portaobjeto).  Marca Glass/Euromix.- 
</t>
  </si>
  <si>
    <t xml:space="preserve">6432000 </t>
  </si>
  <si>
    <t xml:space="preserve">32 </t>
  </si>
  <si>
    <t xml:space="preserve">33.01.002.0233.7 </t>
  </si>
  <si>
    <t xml:space="preserve">TROCAR PARA DRENAJE TORAXICO POR PUNCION . Modelo: De 8 
(Fr) French  </t>
  </si>
  <si>
    <t xml:space="preserve">TROCAR PARA DRENAJE TORAXICO POR PUNCION . Modelo: De 8 
(Fr) French  MARCA: POLYMED  </t>
  </si>
  <si>
    <t xml:space="preserve">52319,4 </t>
  </si>
  <si>
    <t xml:space="preserve">TROCAR Y CATETER TORACICO N*  8 PASHCO REF.12001 PM:1501-52 
[20]  </t>
  </si>
  <si>
    <t xml:space="preserve">99925,02 </t>
  </si>
  <si>
    <t xml:space="preserve">CATETER DRENAJE TORACICO C/TROCAR 8Fr CLYSTER  PM-647-501 </t>
  </si>
  <si>
    <t xml:space="preserve">59659,68 </t>
  </si>
  <si>
    <t xml:space="preserve">33 </t>
  </si>
  <si>
    <t xml:space="preserve">33.07.003.0112.7 </t>
  </si>
  <si>
    <t xml:space="preserve">AZUL BRILLANTE (BRILLANT BLUE) DE CRESILO . Modelo: Certificado  
</t>
  </si>
  <si>
    <t xml:space="preserve">AZUL BRILLANTE (BRILLANT BLUE) DE CRESILO x10 Gr.  Marca 
Stanton.- </t>
  </si>
  <si>
    <t xml:space="preserve">125351,25 </t>
  </si>
  <si>
    <t xml:space="preserve">34 </t>
  </si>
  <si>
    <t xml:space="preserve">33.01.004.0002.27 </t>
  </si>
  <si>
    <t xml:space="preserve">PAPEL TERMOSENSIBLE PARA MONITOR FETAL . Modelo: De 112 mm 
x 90 mm (hoja).  </t>
  </si>
  <si>
    <t xml:space="preserve">112MM X 90MM - CADENCE - MARCA SENSITHERM -  
</t>
  </si>
  <si>
    <t xml:space="preserve">706560 </t>
  </si>
  <si>
    <t xml:space="preserve">PAPEL TERMOSENSIBLE PARA MONITOR FETAL . Modelo: De 112 mm 
x 90 mm (hoja). Tipo Cadence  Marca Sensiterm.- </t>
  </si>
  <si>
    <t xml:space="preserve">768000 </t>
  </si>
  <si>
    <t xml:space="preserve">35 </t>
  </si>
  <si>
    <t xml:space="preserve">33.08.001.0005.13 </t>
  </si>
  <si>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</si>
  <si>
    <t xml:space="preserve">Aposito hidrocoloide  20x20cm Euromix  PM 1440-148 </t>
  </si>
  <si>
    <t xml:space="preserve">6723000 </t>
  </si>
  <si>
    <t xml:space="preserve">APOSITO HIDROCOLOIDE  20 x 20 cm Grueso. marca euromix 
pm 1440-148 o marca pharmaplast pm 1440-158 segun disponbilidad. </t>
  </si>
  <si>
    <t xml:space="preserve">12595500 </t>
  </si>
  <si>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</si>
  <si>
    <t xml:space="preserve">2405340 </t>
  </si>
  <si>
    <t xml:space="preserve">Apósito hidrocoloide elaborado con carboximetilcelulosa sódica, pectina y gelatina. Grueso. 
De 20x20cm Duoderm CGF  Cód. 187662 Marca Convatec </t>
  </si>
  <si>
    <t xml:space="preserve">20740680 </t>
  </si>
  <si>
    <t xml:space="preserve">APOSITO HIDROCOLOIDE  20 x 20 cm ( translucido) extra 
fino. marca euromix pm 1440-148 o marca pharmaplast pm 1440-158 
segun disponbilidad. </t>
  </si>
  <si>
    <t xml:space="preserve">11835000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</si>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</sst>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4">
    <fill>
      <patternFill patternType="none"/>
    </fill>
    <fill>
      <patternFill patternType="gray125"/>
    </fill>
    <fill>
      <patternFill patternType="solid">
        <fgColor rgb="FFA2ADD0"/>
        <bgColor rgb="FFA2ADD0"/>
      </patternFill>
    </fill>
    <fill>
      <patternFill patternType="none">
        <fgColor rgb="FF000000"/>
        <bgColor rgb="FF000000"/>
      </patternFill>
    </fill>
  </fills>
  <borders count="1">
    <border>
      <left/>
      <right/>
      <top/>
      <bottom/>
      <diagonal/>
    </border>
  </borders>
  <cellStyleXfs count="1">
    <xf numFmtId="0" fontId="0" fillId="0" borderId="0" applyBorder="0"/>
  </cellStyleXfs>
  <cellXfs count="10">
    <xf numFmtId="0" fontId="0" fillId="0" borderId="0" xfId="0"/>
    <xf numFmtId="0" fontId="1" fillId="2" borderId="0" xfId="0" applyFont="1" applyFill="1" applyAlignment="1">
      <alignment horizontal="center"/>
    </xf>
    <xf numFmtId="0" fontId="1" fillId="2" borderId="0" xfId="0" applyFont="1" applyFill="1" applyAlignment="1">
      <alignment horizontal="left"/>
    </xf>
    <xf numFmtId="164" fontId="0" fillId="0" borderId="0" xfId="0" applyNumberFormat="1"/>
    <xf numFmtId="0" fontId="0" fillId="0" borderId="0" xfId="0" applyAlignment="1">
      <alignment wrapText="1"/>
    </xf>
    <xf numFmtId="165" fontId="0" fillId="0" borderId="0" xfId="0" applyNumberFormat="1"/>
    <xf numFmtId="0" fontId="0" fillId="3" borderId="0" xfId="0" applyFill="1"/>
    <xf numFmtId="0" fontId="0" fillId="3" borderId="0" xfId="0" applyFill="1" applyAlignment="1">
      <alignment wrapText="1"/>
    </xf>
    <xf numFmtId="165" fontId="0" fillId="3" borderId="0" xfId="0" applyNumberFormat="1" applyFill="1"/>
    <xf numFmtId="164"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49" totalsRowCount="1">
  <tableColumns count="6">
    <tableColumn id="1" xr3:uid="{00000000-0010-0000-0000-000001000000}" name="Renglón"/>
    <tableColumn id="2" xr3:uid="{00000000-0010-0000-0000-000002000000}" name="Opción"/>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L49" totalsRowCount="1">
  <tableColumns count="6">
    <tableColumn id="1" xr3:uid="{00000000-0010-0000-0100-000001000000}" name="Código Moneda"/>
    <tableColumn id="2" xr3:uid="{00000000-0010-0000-0100-000002000000}" name="Precio unitario"/>
    <tableColumn id="3" xr3:uid="{00000000-0010-0000-0100-000003000000}" name="Cantidad ofertada"/>
    <tableColumn id="4" xr3:uid="{00000000-0010-0000-0100-000004000000}" name="Total por renglón" totalsRowFunction="sum"/>
    <tableColumn id="5" xr3:uid="{00000000-0010-0000-0100-000005000000}" name="Especificacion técnica"/>
    <tableColumn id="6" xr3:uid="{00000000-0010-0000-0100-000006000000}" name="Total por renglón en AR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M9:R49" totalsRowCount="1">
  <tableColumns count="6">
    <tableColumn id="1" xr3:uid="{00000000-0010-0000-0200-000001000000}" name="Código Moneda"/>
    <tableColumn id="2" xr3:uid="{00000000-0010-0000-0200-000002000000}" name="Precio unitario"/>
    <tableColumn id="3" xr3:uid="{00000000-0010-0000-0200-000003000000}" name="Cantidad ofertada"/>
    <tableColumn id="4" xr3:uid="{00000000-0010-0000-0200-000004000000}" name="Total por renglón" totalsRowFunction="sum"/>
    <tableColumn id="5" xr3:uid="{00000000-0010-0000-0200-000005000000}" name="Especificacion técnica"/>
    <tableColumn id="6" xr3:uid="{00000000-0010-0000-0200-000006000000}" name="Total por renglón en ARS"/>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S9:X49" totalsRowCount="1">
  <tableColumns count="6">
    <tableColumn id="1" xr3:uid="{00000000-0010-0000-0300-000001000000}" name="Código Moneda"/>
    <tableColumn id="2" xr3:uid="{00000000-0010-0000-0300-000002000000}" name="Precio unitario"/>
    <tableColumn id="3" xr3:uid="{00000000-0010-0000-0300-000003000000}" name="Cantidad ofertada"/>
    <tableColumn id="4" xr3:uid="{00000000-0010-0000-0300-000004000000}" name="Total por renglón" totalsRowFunction="sum"/>
    <tableColumn id="5" xr3:uid="{00000000-0010-0000-0300-000005000000}" name="Especificacion técnica"/>
    <tableColumn id="6" xr3:uid="{00000000-0010-0000-0300-000006000000}" name="Total por renglón en ARS"/>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Y9:AD49" totalsRowCount="1">
  <tableColumns count="6">
    <tableColumn id="1" xr3:uid="{00000000-0010-0000-0400-000001000000}" name="Código Moneda"/>
    <tableColumn id="2" xr3:uid="{00000000-0010-0000-0400-000002000000}" name="Precio unitario"/>
    <tableColumn id="3" xr3:uid="{00000000-0010-0000-0400-000003000000}" name="Cantidad ofertada"/>
    <tableColumn id="4" xr3:uid="{00000000-0010-0000-0400-000004000000}" name="Total por renglón" totalsRowFunction="sum"/>
    <tableColumn id="5" xr3:uid="{00000000-0010-0000-0400-000005000000}" name="Especificacion técnica"/>
    <tableColumn id="6" xr3:uid="{00000000-0010-0000-0400-000006000000}" name="Total por renglón en ARS"/>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E9:AJ49" totalsRowCount="1">
  <tableColumns count="6">
    <tableColumn id="1" xr3:uid="{00000000-0010-0000-0500-000001000000}" name="Código Moneda"/>
    <tableColumn id="2" xr3:uid="{00000000-0010-0000-0500-000002000000}" name="Precio unitario"/>
    <tableColumn id="3" xr3:uid="{00000000-0010-0000-0500-000003000000}" name="Cantidad ofertada"/>
    <tableColumn id="4" xr3:uid="{00000000-0010-0000-0500-000004000000}" name="Total por renglón" totalsRowFunction="sum"/>
    <tableColumn id="5" xr3:uid="{00000000-0010-0000-0500-000005000000}" name="Especificacion técnica"/>
    <tableColumn id="6" xr3:uid="{00000000-0010-0000-0500-000006000000}" name="Total por renglón en ARS"/>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K9:AP49" totalsRowCount="1">
  <tableColumns count="6">
    <tableColumn id="1" xr3:uid="{00000000-0010-0000-0600-000001000000}" name="Código Moneda"/>
    <tableColumn id="2" xr3:uid="{00000000-0010-0000-0600-000002000000}" name="Precio unitario"/>
    <tableColumn id="3" xr3:uid="{00000000-0010-0000-0600-000003000000}" name="Cantidad ofertada"/>
    <tableColumn id="4" xr3:uid="{00000000-0010-0000-0600-000004000000}" name="Total por renglón" totalsRowFunction="sum"/>
    <tableColumn id="5" xr3:uid="{00000000-0010-0000-0600-000005000000}" name="Especificacion técnica"/>
    <tableColumn id="6" xr3:uid="{00000000-0010-0000-0600-000006000000}" name="Total por renglón en ARS"/>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Q9:AV49" totalsRowCount="1">
  <tableColumns count="6">
    <tableColumn id="1" xr3:uid="{00000000-0010-0000-0700-000001000000}" name="Código Moneda"/>
    <tableColumn id="2" xr3:uid="{00000000-0010-0000-0700-000002000000}" name="Precio unitario"/>
    <tableColumn id="3" xr3:uid="{00000000-0010-0000-0700-000003000000}" name="Cantidad ofertada"/>
    <tableColumn id="4" xr3:uid="{00000000-0010-0000-0700-000004000000}" name="Total por renglón" totalsRowFunction="sum"/>
    <tableColumn id="5" xr3:uid="{00000000-0010-0000-0700-000005000000}" name="Especificacion técnica"/>
    <tableColumn id="6" xr3:uid="{00000000-0010-0000-0700-000006000000}" name="Total por renglón en ARS"/>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W9:BB49" totalsRowCount="1">
  <tableColumns count="6">
    <tableColumn id="1" xr3:uid="{00000000-0010-0000-0800-000001000000}" name="Código Moneda"/>
    <tableColumn id="2" xr3:uid="{00000000-0010-0000-0800-000002000000}" name="Precio unitario"/>
    <tableColumn id="3" xr3:uid="{00000000-0010-0000-0800-000003000000}" name="Cantidad ofertada"/>
    <tableColumn id="4" xr3:uid="{00000000-0010-0000-0800-000004000000}" name="Total por renglón" totalsRowFunction="sum"/>
    <tableColumn id="5" xr3:uid="{00000000-0010-0000-0800-000005000000}" name="Especificacion técnica"/>
    <tableColumn id="6" xr3:uid="{00000000-0010-0000-0800-000006000000}" name="Total por renglón en ARS"/>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BC9:BH49" totalsRowCount="1">
  <tableColumns count="6">
    <tableColumn id="1" xr3:uid="{00000000-0010-0000-0900-000001000000}" name="Código Moneda"/>
    <tableColumn id="2" xr3:uid="{00000000-0010-0000-0900-000002000000}" name="Precio unitario"/>
    <tableColumn id="3" xr3:uid="{00000000-0010-0000-0900-000003000000}" name="Cantidad ofertada"/>
    <tableColumn id="4" xr3:uid="{00000000-0010-0000-0900-000004000000}" name="Total por renglón" totalsRowFunction="sum"/>
    <tableColumn id="5" xr3:uid="{00000000-0010-0000-0900-000005000000}" name="Especificacion técnica"/>
    <tableColumn id="6" xr3:uid="{00000000-0010-0000-0900-000006000000}" name="Total por renglón en ARS"/>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BI9:BN49" totalsRowCount="1">
  <tableColumns count="6">
    <tableColumn id="1" xr3:uid="{00000000-0010-0000-0A00-000001000000}" name="Código Moneda"/>
    <tableColumn id="2" xr3:uid="{00000000-0010-0000-0A00-000002000000}" name="Precio unitario"/>
    <tableColumn id="3" xr3:uid="{00000000-0010-0000-0A00-000003000000}" name="Cantidad ofertada"/>
    <tableColumn id="4" xr3:uid="{00000000-0010-0000-0A00-000004000000}" name="Total por renglón" totalsRowFunction="sum"/>
    <tableColumn id="5" xr3:uid="{00000000-0010-0000-0A00-000005000000}" name="Especificacion técnica"/>
    <tableColumn id="6" xr3:uid="{00000000-0010-0000-0A00-000006000000}" name="Total por renglón en ARS"/>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BO9:BT49" totalsRowCount="1">
  <tableColumns count="6">
    <tableColumn id="1" xr3:uid="{00000000-0010-0000-0B00-000001000000}" name="Código Moneda"/>
    <tableColumn id="2" xr3:uid="{00000000-0010-0000-0B00-000002000000}" name="Precio unitario"/>
    <tableColumn id="3" xr3:uid="{00000000-0010-0000-0B00-000003000000}" name="Cantidad ofertada"/>
    <tableColumn id="4" xr3:uid="{00000000-0010-0000-0B00-000004000000}" name="Total por renglón" totalsRowFunction="sum"/>
    <tableColumn id="5" xr3:uid="{00000000-0010-0000-0B00-000005000000}" name="Especificacion técnica"/>
    <tableColumn id="6" xr3:uid="{00000000-0010-0000-0B00-000006000000}" name="Total por renglón en ARS"/>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BU9:BZ49" totalsRowCount="1">
  <tableColumns count="6">
    <tableColumn id="1" xr3:uid="{00000000-0010-0000-0C00-000001000000}" name="Código Moneda"/>
    <tableColumn id="2" xr3:uid="{00000000-0010-0000-0C00-000002000000}" name="Precio unitario"/>
    <tableColumn id="3" xr3:uid="{00000000-0010-0000-0C00-000003000000}" name="Cantidad ofertada"/>
    <tableColumn id="4" xr3:uid="{00000000-0010-0000-0C00-000004000000}" name="Total por renglón" totalsRowFunction="sum"/>
    <tableColumn id="5" xr3:uid="{00000000-0010-0000-0C00-000005000000}" name="Especificacion técnica"/>
    <tableColumn id="6" xr3:uid="{00000000-0010-0000-0C00-000006000000}" name="Total por renglón en ARS"/>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CA9:CF49" totalsRowCount="1">
  <tableColumns count="6">
    <tableColumn id="1" xr3:uid="{00000000-0010-0000-0D00-000001000000}" name="Código Moneda"/>
    <tableColumn id="2" xr3:uid="{00000000-0010-0000-0D00-000002000000}" name="Precio unitario"/>
    <tableColumn id="3" xr3:uid="{00000000-0010-0000-0D00-000003000000}" name="Cantidad ofertada"/>
    <tableColumn id="4" xr3:uid="{00000000-0010-0000-0D00-000004000000}" name="Total por renglón" totalsRowFunction="sum"/>
    <tableColumn id="5" xr3:uid="{00000000-0010-0000-0D00-000005000000}" name="Especificacion técnica"/>
    <tableColumn id="6" xr3:uid="{00000000-0010-0000-0D00-000006000000}" name="Total por renglón en ARS"/>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CG9:CL49" totalsRowCount="1">
  <tableColumns count="6">
    <tableColumn id="1" xr3:uid="{00000000-0010-0000-0E00-000001000000}" name="Código Moneda"/>
    <tableColumn id="2" xr3:uid="{00000000-0010-0000-0E00-000002000000}" name="Precio unitario"/>
    <tableColumn id="3" xr3:uid="{00000000-0010-0000-0E00-000003000000}" name="Cantidad ofertada"/>
    <tableColumn id="4" xr3:uid="{00000000-0010-0000-0E00-000004000000}" name="Total por renglón" totalsRowFunction="sum"/>
    <tableColumn id="5" xr3:uid="{00000000-0010-0000-0E00-000005000000}" name="Especificacion técnica"/>
    <tableColumn id="6" xr3:uid="{00000000-0010-0000-0E00-000006000000}" name="Total por renglón en ARS"/>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CM9:CR49" totalsRowCount="1">
  <tableColumns count="6">
    <tableColumn id="1" xr3:uid="{00000000-0010-0000-0F00-000001000000}" name="Código Moneda"/>
    <tableColumn id="2" xr3:uid="{00000000-0010-0000-0F00-000002000000}" name="Precio unitario"/>
    <tableColumn id="3" xr3:uid="{00000000-0010-0000-0F00-000003000000}" name="Cantidad ofertada"/>
    <tableColumn id="4" xr3:uid="{00000000-0010-0000-0F00-000004000000}" name="Total por renglón" totalsRowFunction="sum"/>
    <tableColumn id="5" xr3:uid="{00000000-0010-0000-0F00-000005000000}" name="Especificacion técnica"/>
    <tableColumn id="6" xr3:uid="{00000000-0010-0000-0F00-000006000000}" name="Total por renglón en ARS"/>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CS9:CX49" totalsRowCount="1">
  <tableColumns count="6">
    <tableColumn id="1" xr3:uid="{00000000-0010-0000-1000-000001000000}" name="Código Moneda"/>
    <tableColumn id="2" xr3:uid="{00000000-0010-0000-1000-000002000000}" name="Precio unitario"/>
    <tableColumn id="3" xr3:uid="{00000000-0010-0000-1000-000003000000}" name="Cantidad ofertada"/>
    <tableColumn id="4" xr3:uid="{00000000-0010-0000-1000-000004000000}" name="Total por renglón" totalsRowFunction="sum"/>
    <tableColumn id="5" xr3:uid="{00000000-0010-0000-1000-000005000000}" name="Especificacion técnica"/>
    <tableColumn id="6" xr3:uid="{00000000-0010-0000-1000-000006000000}" name="Total por renglón en ARS"/>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CY9:DD49" totalsRowCount="1">
  <tableColumns count="6">
    <tableColumn id="1" xr3:uid="{00000000-0010-0000-1100-000001000000}" name="Código Moneda"/>
    <tableColumn id="2" xr3:uid="{00000000-0010-0000-1100-000002000000}" name="Precio unitario"/>
    <tableColumn id="3" xr3:uid="{00000000-0010-0000-1100-000003000000}" name="Cantidad ofertada"/>
    <tableColumn id="4" xr3:uid="{00000000-0010-0000-1100-000004000000}" name="Total por renglón" totalsRowFunction="sum"/>
    <tableColumn id="5" xr3:uid="{00000000-0010-0000-1100-000005000000}" name="Especificacion técnica"/>
    <tableColumn id="6" xr3:uid="{00000000-0010-0000-1100-000006000000}" name="Total por renglón en ARS"/>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DE9:DJ49" totalsRowCount="1">
  <tableColumns count="6">
    <tableColumn id="1" xr3:uid="{00000000-0010-0000-1200-000001000000}" name="Código Moneda"/>
    <tableColumn id="2" xr3:uid="{00000000-0010-0000-1200-000002000000}" name="Precio unitario"/>
    <tableColumn id="3" xr3:uid="{00000000-0010-0000-1200-000003000000}" name="Cantidad ofertada"/>
    <tableColumn id="4" xr3:uid="{00000000-0010-0000-1200-000004000000}" name="Total por renglón" totalsRowFunction="sum"/>
    <tableColumn id="5" xr3:uid="{00000000-0010-0000-1200-000005000000}" name="Especificacion técnica"/>
    <tableColumn id="6" xr3:uid="{00000000-0010-0000-1200-000006000000}" name="Total por renglón en ARS"/>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DK9:DP49" totalsRowCount="1">
  <tableColumns count="6">
    <tableColumn id="1" xr3:uid="{00000000-0010-0000-1300-000001000000}" name="Código Moneda"/>
    <tableColumn id="2" xr3:uid="{00000000-0010-0000-1300-000002000000}" name="Precio unitario"/>
    <tableColumn id="3" xr3:uid="{00000000-0010-0000-1300-000003000000}" name="Cantidad ofertada"/>
    <tableColumn id="4" xr3:uid="{00000000-0010-0000-1300-000004000000}" name="Total por renglón" totalsRowFunction="sum"/>
    <tableColumn id="5" xr3:uid="{00000000-0010-0000-1300-000005000000}" name="Especificacion técnica"/>
    <tableColumn id="6" xr3:uid="{00000000-0010-0000-1300-000006000000}" name="Total por renglón en ARS"/>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DQ9:DV49" totalsRowCount="1">
  <tableColumns count="6">
    <tableColumn id="1" xr3:uid="{00000000-0010-0000-1400-000001000000}" name="Código Moneda"/>
    <tableColumn id="2" xr3:uid="{00000000-0010-0000-1400-000002000000}" name="Precio unitario"/>
    <tableColumn id="3" xr3:uid="{00000000-0010-0000-1400-000003000000}" name="Cantidad ofertada"/>
    <tableColumn id="4" xr3:uid="{00000000-0010-0000-1400-000004000000}" name="Total por renglón" totalsRowFunction="sum"/>
    <tableColumn id="5" xr3:uid="{00000000-0010-0000-1400-000005000000}" name="Especificacion técnica"/>
    <tableColumn id="6" xr3:uid="{00000000-0010-0000-1400-000006000000}" name="Total por renglón en ARS"/>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DW9:EB49" totalsRowCount="1">
  <tableColumns count="6">
    <tableColumn id="1" xr3:uid="{00000000-0010-0000-1500-000001000000}" name="Código Moneda"/>
    <tableColumn id="2" xr3:uid="{00000000-0010-0000-1500-000002000000}" name="Precio unitario"/>
    <tableColumn id="3" xr3:uid="{00000000-0010-0000-1500-000003000000}" name="Cantidad ofertada"/>
    <tableColumn id="4" xr3:uid="{00000000-0010-0000-1500-000004000000}" name="Total por renglón" totalsRowFunction="sum"/>
    <tableColumn id="5" xr3:uid="{00000000-0010-0000-1500-000005000000}" name="Especificacion técnica"/>
    <tableColumn id="6" xr3:uid="{00000000-0010-0000-1500-000006000000}" name="Total por renglón en ARS"/>
  </tableColumns>
  <tableStyleInfo name="TableStyleLight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EC9:EH49" totalsRowCount="1">
  <tableColumns count="6">
    <tableColumn id="1" xr3:uid="{00000000-0010-0000-1600-000001000000}" name="Código Moneda"/>
    <tableColumn id="2" xr3:uid="{00000000-0010-0000-1600-000002000000}" name="Precio unitario"/>
    <tableColumn id="3" xr3:uid="{00000000-0010-0000-1600-000003000000}" name="Cantidad ofertada"/>
    <tableColumn id="4" xr3:uid="{00000000-0010-0000-1600-000004000000}" name="Total por renglón" totalsRowFunction="sum"/>
    <tableColumn id="5" xr3:uid="{00000000-0010-0000-1600-000005000000}" name="Especificacion técnica"/>
    <tableColumn id="6" xr3:uid="{00000000-0010-0000-1600-000006000000}" name="Total por renglón en ARS"/>
  </tableColumns>
  <tableStyleInfo name="TableStyleLight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EI9:EN49" totalsRowCount="1">
  <tableColumns count="6">
    <tableColumn id="1" xr3:uid="{00000000-0010-0000-1700-000001000000}" name="Código Moneda"/>
    <tableColumn id="2" xr3:uid="{00000000-0010-0000-1700-000002000000}" name="Precio unitario"/>
    <tableColumn id="3" xr3:uid="{00000000-0010-0000-1700-000003000000}" name="Cantidad ofertada"/>
    <tableColumn id="4" xr3:uid="{00000000-0010-0000-1700-000004000000}" name="Total por renglón" totalsRowFunction="sum"/>
    <tableColumn id="5" xr3:uid="{00000000-0010-0000-1700-000005000000}" name="Especificacion técnica"/>
    <tableColumn id="6" xr3:uid="{00000000-0010-0000-1700-000006000000}" name="Total por renglón en ARS"/>
  </tableColumns>
  <tableStyleInfo name="TableStyleLight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EO9:ET49" totalsRowCount="1">
  <tableColumns count="6">
    <tableColumn id="1" xr3:uid="{00000000-0010-0000-1800-000001000000}" name="Código Moneda"/>
    <tableColumn id="2" xr3:uid="{00000000-0010-0000-1800-000002000000}" name="Precio unitario"/>
    <tableColumn id="3" xr3:uid="{00000000-0010-0000-1800-000003000000}" name="Cantidad ofertada"/>
    <tableColumn id="4" xr3:uid="{00000000-0010-0000-1800-000004000000}" name="Total por renglón" totalsRowFunction="sum"/>
    <tableColumn id="5" xr3:uid="{00000000-0010-0000-1800-000005000000}" name="Especificacion técnica"/>
    <tableColumn id="6" xr3:uid="{00000000-0010-0000-1800-000006000000}" name="Total por renglón en ARS"/>
  </tableColumns>
  <tableStyleInfo name="TableStyleLight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EU9:EZ49" totalsRowCount="1">
  <tableColumns count="6">
    <tableColumn id="1" xr3:uid="{00000000-0010-0000-1900-000001000000}" name="Código Moneda"/>
    <tableColumn id="2" xr3:uid="{00000000-0010-0000-1900-000002000000}" name="Precio unitario"/>
    <tableColumn id="3" xr3:uid="{00000000-0010-0000-1900-000003000000}" name="Cantidad ofertada"/>
    <tableColumn id="4" xr3:uid="{00000000-0010-0000-1900-000004000000}" name="Total por renglón" totalsRowFunction="sum"/>
    <tableColumn id="5" xr3:uid="{00000000-0010-0000-1900-000005000000}" name="Especificacion técnica"/>
    <tableColumn id="6" xr3:uid="{00000000-0010-0000-1900-000006000000}" name="Total por renglón en ARS"/>
  </tableColumns>
  <tableStyleInfo name="TableStyleLight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FA9:FF49" totalsRowCount="1">
  <tableColumns count="6">
    <tableColumn id="1" xr3:uid="{00000000-0010-0000-1A00-000001000000}" name="Código Moneda"/>
    <tableColumn id="2" xr3:uid="{00000000-0010-0000-1A00-000002000000}" name="Precio unitario"/>
    <tableColumn id="3" xr3:uid="{00000000-0010-0000-1A00-000003000000}" name="Cantidad ofertada"/>
    <tableColumn id="4" xr3:uid="{00000000-0010-0000-1A00-000004000000}" name="Total por renglón" totalsRowFunction="sum"/>
    <tableColumn id="5" xr3:uid="{00000000-0010-0000-1A00-000005000000}" name="Especificacion técnica"/>
    <tableColumn id="6" xr3:uid="{00000000-0010-0000-1A00-000006000000}" name="Total por renglón en ARS"/>
  </tableColumns>
  <tableStyleInfo name="TableStyleLight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FG9:FL49" totalsRowCount="1">
  <tableColumns count="6">
    <tableColumn id="1" xr3:uid="{00000000-0010-0000-1B00-000001000000}" name="Código Moneda"/>
    <tableColumn id="2" xr3:uid="{00000000-0010-0000-1B00-000002000000}" name="Precio unitario"/>
    <tableColumn id="3" xr3:uid="{00000000-0010-0000-1B00-000003000000}" name="Cantidad ofertada"/>
    <tableColumn id="4" xr3:uid="{00000000-0010-0000-1B00-000004000000}" name="Total por renglón" totalsRowFunction="sum"/>
    <tableColumn id="5" xr3:uid="{00000000-0010-0000-1B00-000005000000}" name="Especificacion técnica"/>
    <tableColumn id="6" xr3:uid="{00000000-0010-0000-1B00-000006000000}" name="Total por renglón en ARS"/>
  </tableColumns>
  <tableStyleInfo name="TableStyleLight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FM9:FR49" totalsRowCount="1">
  <tableColumns count="6">
    <tableColumn id="1" xr3:uid="{00000000-0010-0000-1C00-000001000000}" name="Código Moneda"/>
    <tableColumn id="2" xr3:uid="{00000000-0010-0000-1C00-000002000000}" name="Precio unitario"/>
    <tableColumn id="3" xr3:uid="{00000000-0010-0000-1C00-000003000000}" name="Cantidad ofertada"/>
    <tableColumn id="4" xr3:uid="{00000000-0010-0000-1C00-000004000000}" name="Total por renglón" totalsRowFunction="sum"/>
    <tableColumn id="5" xr3:uid="{00000000-0010-0000-1C00-000005000000}" name="Especificacion técnica"/>
    <tableColumn id="6" xr3:uid="{00000000-0010-0000-1C00-000006000000}" name="Total por renglón en AR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R49"/>
  <sheetViews>
    <sheetView tabSelected="1" workbookViewId="0">
      <pane xSplit="3" ySplit="9" topLeftCell="D10" activePane="bottomRight" state="frozenSplit"/>
      <selection pane="topRight"/>
      <selection pane="bottomLeft"/>
      <selection pane="bottomRight" activeCell="E4" sqref="E4"/>
    </sheetView>
  </sheetViews>
  <sheetFormatPr baseColWidth="10" defaultColWidth="8.88671875" defaultRowHeight="14.4" x14ac:dyDescent="0.3"/>
  <cols>
    <col min="1" max="1" width="8.77734375" customWidth="1"/>
    <col min="2" max="2" width="7.88671875" customWidth="1"/>
    <col min="3" max="3" width="17.77734375" customWidth="1"/>
    <col min="4" max="4" width="81.77734375" customWidth="1"/>
    <col min="5" max="5" width="43.88671875" customWidth="1"/>
    <col min="6" max="6" width="17.44140625" customWidth="1"/>
    <col min="7" max="7" width="15.33203125" customWidth="1"/>
    <col min="8" max="8" width="14.33203125" customWidth="1"/>
    <col min="9" max="9" width="17.21875" customWidth="1"/>
    <col min="10" max="10" width="16.5546875" customWidth="1"/>
    <col min="11" max="11" width="47" customWidth="1"/>
    <col min="12" max="12" width="23" customWidth="1"/>
    <col min="13" max="13" width="15.33203125" customWidth="1"/>
    <col min="14" max="14" width="14.33203125" customWidth="1"/>
    <col min="15" max="15" width="17.21875" customWidth="1"/>
    <col min="16" max="16" width="16.5546875" customWidth="1"/>
    <col min="17" max="17" width="60.6640625" customWidth="1"/>
    <col min="18" max="18" width="23" customWidth="1"/>
    <col min="19" max="19" width="15.33203125" customWidth="1"/>
    <col min="20" max="20" width="14.33203125" customWidth="1"/>
    <col min="21" max="21" width="17.21875" customWidth="1"/>
    <col min="22" max="22" width="16.5546875" customWidth="1"/>
    <col min="23" max="23" width="80.21875" customWidth="1"/>
    <col min="24" max="24" width="23" customWidth="1"/>
    <col min="25" max="25" width="15.33203125" customWidth="1"/>
    <col min="26" max="26" width="14.33203125" customWidth="1"/>
    <col min="27" max="27" width="17.21875" customWidth="1"/>
    <col min="28" max="28" width="16.5546875" customWidth="1"/>
    <col min="29" max="29" width="79.77734375" customWidth="1"/>
    <col min="30" max="30" width="23" customWidth="1"/>
    <col min="31" max="31" width="15.33203125" customWidth="1"/>
    <col min="32" max="32" width="14.33203125" customWidth="1"/>
    <col min="33" max="33" width="17.21875" customWidth="1"/>
    <col min="34" max="34" width="16.5546875" customWidth="1"/>
    <col min="35" max="35" width="30.21875" customWidth="1"/>
    <col min="36" max="36" width="23" customWidth="1"/>
    <col min="37" max="37" width="15.33203125" customWidth="1"/>
    <col min="38" max="38" width="14.33203125" customWidth="1"/>
    <col min="39" max="39" width="17.21875" customWidth="1"/>
    <col min="40" max="40" width="16.5546875" customWidth="1"/>
    <col min="41" max="41" width="87.77734375" customWidth="1"/>
    <col min="42" max="42" width="23" customWidth="1"/>
    <col min="43" max="43" width="15.33203125" customWidth="1"/>
    <col min="44" max="44" width="14.33203125" customWidth="1"/>
    <col min="45" max="45" width="17.21875" customWidth="1"/>
    <col min="46" max="46" width="16.5546875" customWidth="1"/>
    <col min="47" max="47" width="68.88671875" customWidth="1"/>
    <col min="48" max="48" width="23" customWidth="1"/>
    <col min="49" max="49" width="15.33203125" customWidth="1"/>
    <col min="50" max="50" width="14.33203125" customWidth="1"/>
    <col min="51" max="51" width="17.21875" customWidth="1"/>
    <col min="52" max="52" width="16.5546875" customWidth="1"/>
    <col min="53" max="53" width="47.109375" customWidth="1"/>
    <col min="54" max="54" width="23" customWidth="1"/>
    <col min="55" max="55" width="15.33203125" customWidth="1"/>
    <col min="56" max="56" width="14.33203125" customWidth="1"/>
    <col min="57" max="57" width="17.21875" customWidth="1"/>
    <col min="58" max="58" width="16.5546875" customWidth="1"/>
    <col min="59" max="59" width="67.109375" customWidth="1"/>
    <col min="60" max="60" width="23" customWidth="1"/>
    <col min="61" max="61" width="15.33203125" customWidth="1"/>
    <col min="62" max="62" width="14.33203125" customWidth="1"/>
    <col min="63" max="63" width="17.21875" customWidth="1"/>
    <col min="64" max="64" width="16.5546875" customWidth="1"/>
    <col min="65" max="65" width="71.77734375" customWidth="1"/>
    <col min="66" max="66" width="23" customWidth="1"/>
    <col min="67" max="67" width="15.33203125" customWidth="1"/>
    <col min="68" max="68" width="14.33203125" customWidth="1"/>
    <col min="69" max="69" width="17.21875" customWidth="1"/>
    <col min="70" max="70" width="16.5546875" customWidth="1"/>
    <col min="71" max="71" width="79.77734375" customWidth="1"/>
    <col min="72" max="72" width="23" customWidth="1"/>
    <col min="73" max="73" width="15.33203125" customWidth="1"/>
    <col min="74" max="74" width="14.33203125" customWidth="1"/>
    <col min="75" max="75" width="17.21875" customWidth="1"/>
    <col min="76" max="76" width="16.5546875" customWidth="1"/>
    <col min="77" max="77" width="72.21875" customWidth="1"/>
    <col min="78" max="78" width="23" customWidth="1"/>
    <col min="79" max="79" width="15.33203125" customWidth="1"/>
    <col min="80" max="80" width="14.33203125" customWidth="1"/>
    <col min="81" max="81" width="17.21875" customWidth="1"/>
    <col min="82" max="82" width="16.5546875" customWidth="1"/>
    <col min="83" max="83" width="83.6640625" customWidth="1"/>
    <col min="84" max="84" width="23" customWidth="1"/>
    <col min="85" max="85" width="15.33203125" customWidth="1"/>
    <col min="86" max="86" width="14.33203125" customWidth="1"/>
    <col min="87" max="87" width="17.21875" customWidth="1"/>
    <col min="88" max="88" width="16.5546875" customWidth="1"/>
    <col min="89" max="89" width="42.6640625" customWidth="1"/>
    <col min="90" max="90" width="23" customWidth="1"/>
    <col min="91" max="91" width="15.33203125" customWidth="1"/>
    <col min="92" max="92" width="14.33203125" customWidth="1"/>
    <col min="93" max="93" width="17.21875" customWidth="1"/>
    <col min="94" max="94" width="16.5546875" customWidth="1"/>
    <col min="95" max="95" width="81" customWidth="1"/>
    <col min="96" max="96" width="23" customWidth="1"/>
    <col min="97" max="97" width="15.33203125" customWidth="1"/>
    <col min="98" max="98" width="14.33203125" customWidth="1"/>
    <col min="99" max="99" width="17.21875" customWidth="1"/>
    <col min="100" max="100" width="16.5546875" customWidth="1"/>
    <col min="101" max="101" width="20.33203125" customWidth="1"/>
    <col min="102" max="102" width="23" customWidth="1"/>
    <col min="103" max="103" width="15.33203125" customWidth="1"/>
    <col min="104" max="104" width="14.33203125" customWidth="1"/>
    <col min="105" max="105" width="17.21875" customWidth="1"/>
    <col min="106" max="106" width="16.5546875" customWidth="1"/>
    <col min="107" max="107" width="72.77734375" customWidth="1"/>
    <col min="108" max="108" width="23" customWidth="1"/>
    <col min="109" max="109" width="15.33203125" customWidth="1"/>
    <col min="110" max="110" width="14.33203125" customWidth="1"/>
    <col min="111" max="111" width="17.21875" customWidth="1"/>
    <col min="112" max="112" width="16.5546875" customWidth="1"/>
    <col min="113" max="113" width="87.88671875" customWidth="1"/>
    <col min="114" max="114" width="23" customWidth="1"/>
    <col min="115" max="115" width="15.33203125" customWidth="1"/>
    <col min="116" max="116" width="14.33203125" customWidth="1"/>
    <col min="117" max="117" width="17.21875" customWidth="1"/>
    <col min="118" max="118" width="16.5546875" customWidth="1"/>
    <col min="119" max="119" width="55.109375" customWidth="1"/>
    <col min="120" max="120" width="23" customWidth="1"/>
    <col min="121" max="121" width="15.33203125" customWidth="1"/>
    <col min="122" max="122" width="14.33203125" customWidth="1"/>
    <col min="123" max="123" width="17.21875" customWidth="1"/>
    <col min="124" max="124" width="16.5546875" customWidth="1"/>
    <col min="125" max="125" width="58" customWidth="1"/>
    <col min="126" max="126" width="23" customWidth="1"/>
    <col min="127" max="127" width="15.33203125" customWidth="1"/>
    <col min="128" max="128" width="14.33203125" customWidth="1"/>
    <col min="129" max="129" width="17.21875" customWidth="1"/>
    <col min="130" max="130" width="16.5546875" customWidth="1"/>
    <col min="131" max="131" width="82.21875" customWidth="1"/>
    <col min="132" max="132" width="23" customWidth="1"/>
    <col min="133" max="133" width="15.33203125" customWidth="1"/>
    <col min="134" max="134" width="14.33203125" customWidth="1"/>
    <col min="135" max="135" width="17.21875" customWidth="1"/>
    <col min="136" max="136" width="16.5546875" customWidth="1"/>
    <col min="137" max="137" width="62.88671875" customWidth="1"/>
    <col min="138" max="138" width="23" customWidth="1"/>
    <col min="139" max="139" width="15.33203125" customWidth="1"/>
    <col min="140" max="140" width="14.33203125" customWidth="1"/>
    <col min="141" max="141" width="17.21875" customWidth="1"/>
    <col min="142" max="142" width="16.5546875" customWidth="1"/>
    <col min="143" max="143" width="48.33203125" customWidth="1"/>
    <col min="144" max="144" width="23" customWidth="1"/>
    <col min="145" max="145" width="15.33203125" customWidth="1"/>
    <col min="146" max="146" width="14.33203125" customWidth="1"/>
    <col min="147" max="147" width="17.21875" customWidth="1"/>
    <col min="148" max="148" width="16.5546875" customWidth="1"/>
    <col min="149" max="149" width="82.21875" customWidth="1"/>
    <col min="150" max="150" width="23" customWidth="1"/>
    <col min="151" max="151" width="15.33203125" customWidth="1"/>
    <col min="152" max="152" width="14.33203125" customWidth="1"/>
    <col min="153" max="153" width="17.21875" customWidth="1"/>
    <col min="154" max="154" width="16.5546875" customWidth="1"/>
    <col min="155" max="155" width="76.33203125" customWidth="1"/>
    <col min="156" max="156" width="23" customWidth="1"/>
    <col min="157" max="157" width="15.33203125" customWidth="1"/>
    <col min="158" max="158" width="14.33203125" customWidth="1"/>
    <col min="159" max="159" width="17.21875" customWidth="1"/>
    <col min="160" max="160" width="16.5546875" customWidth="1"/>
    <col min="161" max="161" width="80" customWidth="1"/>
    <col min="162" max="162" width="23" customWidth="1"/>
    <col min="163" max="163" width="15.33203125" customWidth="1"/>
    <col min="164" max="164" width="14.33203125" customWidth="1"/>
    <col min="165" max="165" width="17.21875" customWidth="1"/>
    <col min="166" max="166" width="16.5546875" customWidth="1"/>
    <col min="167" max="167" width="73.77734375" customWidth="1"/>
    <col min="168" max="168" width="23" customWidth="1"/>
    <col min="169" max="169" width="15.33203125" customWidth="1"/>
    <col min="170" max="170" width="14.33203125" customWidth="1"/>
    <col min="171" max="171" width="17.21875" customWidth="1"/>
    <col min="172" max="172" width="16.5546875" customWidth="1"/>
    <col min="173" max="173" width="81.77734375" customWidth="1"/>
    <col min="174" max="174" width="23" customWidth="1"/>
  </cols>
  <sheetData>
    <row r="1" spans="1:174" x14ac:dyDescent="0.3">
      <c r="D1" s="2" t="s">
        <v>0</v>
      </c>
      <c r="E1" s="2" t="s">
        <v>1</v>
      </c>
    </row>
    <row r="2" spans="1:174" x14ac:dyDescent="0.3">
      <c r="D2" s="2" t="s">
        <v>2</v>
      </c>
      <c r="E2" s="2" t="s">
        <v>3</v>
      </c>
    </row>
    <row r="3" spans="1:174" x14ac:dyDescent="0.3">
      <c r="D3" s="2" t="s">
        <v>4</v>
      </c>
      <c r="E3" s="2" t="s">
        <v>5</v>
      </c>
    </row>
    <row r="4" spans="1:174" x14ac:dyDescent="0.3">
      <c r="D4" s="2" t="s">
        <v>6</v>
      </c>
      <c r="E4" s="2" t="s">
        <v>7</v>
      </c>
    </row>
    <row r="5" spans="1:174" x14ac:dyDescent="0.3">
      <c r="D5" s="2" t="s">
        <v>8</v>
      </c>
      <c r="E5" s="2" t="s">
        <v>9</v>
      </c>
    </row>
    <row r="8" spans="1:174" x14ac:dyDescent="0.3">
      <c r="A8" s="1" t="s">
        <v>10</v>
      </c>
      <c r="B8" s="1"/>
      <c r="C8" s="1"/>
      <c r="D8" s="1"/>
      <c r="E8" s="1"/>
      <c r="F8" s="1"/>
      <c r="G8" s="1" t="s">
        <v>11</v>
      </c>
      <c r="H8" s="1"/>
      <c r="I8" s="1"/>
      <c r="J8" s="1"/>
      <c r="K8" s="1"/>
      <c r="L8" s="1"/>
      <c r="M8" s="1" t="s">
        <v>12</v>
      </c>
      <c r="N8" s="1"/>
      <c r="O8" s="1"/>
      <c r="P8" s="1"/>
      <c r="Q8" s="1"/>
      <c r="R8" s="1"/>
      <c r="S8" s="1" t="s">
        <v>13</v>
      </c>
      <c r="T8" s="1"/>
      <c r="U8" s="1"/>
      <c r="V8" s="1"/>
      <c r="W8" s="1"/>
      <c r="X8" s="1"/>
      <c r="Y8" s="1" t="s">
        <v>14</v>
      </c>
      <c r="Z8" s="1"/>
      <c r="AA8" s="1"/>
      <c r="AB8" s="1"/>
      <c r="AC8" s="1"/>
      <c r="AD8" s="1"/>
      <c r="AE8" s="1" t="s">
        <v>15</v>
      </c>
      <c r="AF8" s="1"/>
      <c r="AG8" s="1"/>
      <c r="AH8" s="1"/>
      <c r="AI8" s="1"/>
      <c r="AJ8" s="1"/>
      <c r="AK8" s="1" t="s">
        <v>16</v>
      </c>
      <c r="AL8" s="1"/>
      <c r="AM8" s="1"/>
      <c r="AN8" s="1"/>
      <c r="AO8" s="1"/>
      <c r="AP8" s="1"/>
      <c r="AQ8" s="1" t="s">
        <v>17</v>
      </c>
      <c r="AR8" s="1"/>
      <c r="AS8" s="1"/>
      <c r="AT8" s="1"/>
      <c r="AU8" s="1"/>
      <c r="AV8" s="1"/>
      <c r="AW8" s="1" t="s">
        <v>18</v>
      </c>
      <c r="AX8" s="1"/>
      <c r="AY8" s="1"/>
      <c r="AZ8" s="1"/>
      <c r="BA8" s="1"/>
      <c r="BB8" s="1"/>
      <c r="BC8" s="1" t="s">
        <v>19</v>
      </c>
      <c r="BD8" s="1"/>
      <c r="BE8" s="1"/>
      <c r="BF8" s="1"/>
      <c r="BG8" s="1"/>
      <c r="BH8" s="1"/>
      <c r="BI8" s="1" t="s">
        <v>20</v>
      </c>
      <c r="BJ8" s="1"/>
      <c r="BK8" s="1"/>
      <c r="BL8" s="1"/>
      <c r="BM8" s="1"/>
      <c r="BN8" s="1"/>
      <c r="BO8" s="1" t="s">
        <v>21</v>
      </c>
      <c r="BP8" s="1"/>
      <c r="BQ8" s="1"/>
      <c r="BR8" s="1"/>
      <c r="BS8" s="1"/>
      <c r="BT8" s="1"/>
      <c r="BU8" s="1" t="s">
        <v>22</v>
      </c>
      <c r="BV8" s="1"/>
      <c r="BW8" s="1"/>
      <c r="BX8" s="1"/>
      <c r="BY8" s="1"/>
      <c r="BZ8" s="1"/>
      <c r="CA8" s="1" t="s">
        <v>23</v>
      </c>
      <c r="CB8" s="1"/>
      <c r="CC8" s="1"/>
      <c r="CD8" s="1"/>
      <c r="CE8" s="1"/>
      <c r="CF8" s="1"/>
      <c r="CG8" s="1" t="s">
        <v>24</v>
      </c>
      <c r="CH8" s="1"/>
      <c r="CI8" s="1"/>
      <c r="CJ8" s="1"/>
      <c r="CK8" s="1"/>
      <c r="CL8" s="1"/>
      <c r="CM8" s="1" t="s">
        <v>25</v>
      </c>
      <c r="CN8" s="1"/>
      <c r="CO8" s="1"/>
      <c r="CP8" s="1"/>
      <c r="CQ8" s="1"/>
      <c r="CR8" s="1"/>
      <c r="CS8" s="1" t="s">
        <v>26</v>
      </c>
      <c r="CT8" s="1"/>
      <c r="CU8" s="1"/>
      <c r="CV8" s="1"/>
      <c r="CW8" s="1"/>
      <c r="CX8" s="1"/>
      <c r="CY8" s="1" t="s">
        <v>27</v>
      </c>
      <c r="CZ8" s="1"/>
      <c r="DA8" s="1"/>
      <c r="DB8" s="1"/>
      <c r="DC8" s="1"/>
      <c r="DD8" s="1"/>
      <c r="DE8" s="1" t="s">
        <v>28</v>
      </c>
      <c r="DF8" s="1"/>
      <c r="DG8" s="1"/>
      <c r="DH8" s="1"/>
      <c r="DI8" s="1"/>
      <c r="DJ8" s="1"/>
      <c r="DK8" s="1" t="s">
        <v>29</v>
      </c>
      <c r="DL8" s="1"/>
      <c r="DM8" s="1"/>
      <c r="DN8" s="1"/>
      <c r="DO8" s="1"/>
      <c r="DP8" s="1"/>
      <c r="DQ8" s="1" t="s">
        <v>30</v>
      </c>
      <c r="DR8" s="1"/>
      <c r="DS8" s="1"/>
      <c r="DT8" s="1"/>
      <c r="DU8" s="1"/>
      <c r="DV8" s="1"/>
      <c r="DW8" s="1" t="s">
        <v>31</v>
      </c>
      <c r="DX8" s="1"/>
      <c r="DY8" s="1"/>
      <c r="DZ8" s="1"/>
      <c r="EA8" s="1"/>
      <c r="EB8" s="1"/>
      <c r="EC8" s="1" t="s">
        <v>32</v>
      </c>
      <c r="ED8" s="1"/>
      <c r="EE8" s="1"/>
      <c r="EF8" s="1"/>
      <c r="EG8" s="1"/>
      <c r="EH8" s="1"/>
      <c r="EI8" s="1" t="s">
        <v>33</v>
      </c>
      <c r="EJ8" s="1"/>
      <c r="EK8" s="1"/>
      <c r="EL8" s="1"/>
      <c r="EM8" s="1"/>
      <c r="EN8" s="1"/>
      <c r="EO8" s="1" t="s">
        <v>34</v>
      </c>
      <c r="EP8" s="1"/>
      <c r="EQ8" s="1"/>
      <c r="ER8" s="1"/>
      <c r="ES8" s="1"/>
      <c r="ET8" s="1"/>
      <c r="EU8" s="1" t="s">
        <v>35</v>
      </c>
      <c r="EV8" s="1"/>
      <c r="EW8" s="1"/>
      <c r="EX8" s="1"/>
      <c r="EY8" s="1"/>
      <c r="EZ8" s="1"/>
      <c r="FA8" s="1" t="s">
        <v>36</v>
      </c>
      <c r="FB8" s="1"/>
      <c r="FC8" s="1"/>
      <c r="FD8" s="1"/>
      <c r="FE8" s="1"/>
      <c r="FF8" s="1"/>
      <c r="FG8" s="1" t="s">
        <v>37</v>
      </c>
      <c r="FH8" s="1"/>
      <c r="FI8" s="1"/>
      <c r="FJ8" s="1"/>
      <c r="FK8" s="1"/>
      <c r="FL8" s="1"/>
      <c r="FM8" s="1" t="s">
        <v>38</v>
      </c>
      <c r="FN8" s="1"/>
      <c r="FO8" s="1"/>
      <c r="FP8" s="1"/>
      <c r="FQ8" s="1"/>
      <c r="FR8" s="1"/>
    </row>
    <row r="9" spans="1:174" x14ac:dyDescent="0.3">
      <c r="A9" t="s">
        <v>10</v>
      </c>
      <c r="B9" t="s">
        <v>39</v>
      </c>
      <c r="C9" t="s">
        <v>40</v>
      </c>
      <c r="D9" t="s">
        <v>41</v>
      </c>
      <c r="E9" t="s">
        <v>42</v>
      </c>
      <c r="F9" t="s">
        <v>43</v>
      </c>
      <c r="G9" s="3" t="s">
        <v>44</v>
      </c>
      <c r="H9" s="3" t="s">
        <v>45</v>
      </c>
      <c r="I9" t="s">
        <v>46</v>
      </c>
      <c r="J9" t="s">
        <v>47</v>
      </c>
      <c r="K9" t="s">
        <v>48</v>
      </c>
      <c r="L9" t="s">
        <v>49</v>
      </c>
      <c r="M9" s="3" t="s">
        <v>44</v>
      </c>
      <c r="N9" s="3" t="s">
        <v>45</v>
      </c>
      <c r="O9" t="s">
        <v>46</v>
      </c>
      <c r="P9" t="s">
        <v>47</v>
      </c>
      <c r="Q9" t="s">
        <v>48</v>
      </c>
      <c r="R9" t="s">
        <v>49</v>
      </c>
      <c r="S9" s="3" t="s">
        <v>44</v>
      </c>
      <c r="T9" s="3" t="s">
        <v>45</v>
      </c>
      <c r="U9" t="s">
        <v>46</v>
      </c>
      <c r="V9" t="s">
        <v>47</v>
      </c>
      <c r="W9" t="s">
        <v>48</v>
      </c>
      <c r="X9" t="s">
        <v>49</v>
      </c>
      <c r="Y9" s="3" t="s">
        <v>44</v>
      </c>
      <c r="Z9" s="3" t="s">
        <v>45</v>
      </c>
      <c r="AA9" t="s">
        <v>46</v>
      </c>
      <c r="AB9" t="s">
        <v>47</v>
      </c>
      <c r="AC9" t="s">
        <v>48</v>
      </c>
      <c r="AD9" t="s">
        <v>49</v>
      </c>
      <c r="AE9" s="3" t="s">
        <v>44</v>
      </c>
      <c r="AF9" s="3" t="s">
        <v>45</v>
      </c>
      <c r="AG9" t="s">
        <v>46</v>
      </c>
      <c r="AH9" t="s">
        <v>47</v>
      </c>
      <c r="AI9" t="s">
        <v>48</v>
      </c>
      <c r="AJ9" t="s">
        <v>49</v>
      </c>
      <c r="AK9" s="3" t="s">
        <v>44</v>
      </c>
      <c r="AL9" s="3" t="s">
        <v>45</v>
      </c>
      <c r="AM9" t="s">
        <v>46</v>
      </c>
      <c r="AN9" t="s">
        <v>47</v>
      </c>
      <c r="AO9" t="s">
        <v>48</v>
      </c>
      <c r="AP9" t="s">
        <v>49</v>
      </c>
      <c r="AQ9" s="3" t="s">
        <v>44</v>
      </c>
      <c r="AR9" s="3" t="s">
        <v>45</v>
      </c>
      <c r="AS9" t="s">
        <v>46</v>
      </c>
      <c r="AT9" t="s">
        <v>47</v>
      </c>
      <c r="AU9" t="s">
        <v>48</v>
      </c>
      <c r="AV9" t="s">
        <v>49</v>
      </c>
      <c r="AW9" s="3" t="s">
        <v>44</v>
      </c>
      <c r="AX9" s="3" t="s">
        <v>45</v>
      </c>
      <c r="AY9" t="s">
        <v>46</v>
      </c>
      <c r="AZ9" t="s">
        <v>47</v>
      </c>
      <c r="BA9" t="s">
        <v>48</v>
      </c>
      <c r="BB9" t="s">
        <v>49</v>
      </c>
      <c r="BC9" s="3" t="s">
        <v>44</v>
      </c>
      <c r="BD9" s="3" t="s">
        <v>45</v>
      </c>
      <c r="BE9" t="s">
        <v>46</v>
      </c>
      <c r="BF9" t="s">
        <v>47</v>
      </c>
      <c r="BG9" t="s">
        <v>48</v>
      </c>
      <c r="BH9" t="s">
        <v>49</v>
      </c>
      <c r="BI9" s="3" t="s">
        <v>44</v>
      </c>
      <c r="BJ9" s="3" t="s">
        <v>45</v>
      </c>
      <c r="BK9" t="s">
        <v>46</v>
      </c>
      <c r="BL9" t="s">
        <v>47</v>
      </c>
      <c r="BM9" t="s">
        <v>48</v>
      </c>
      <c r="BN9" t="s">
        <v>49</v>
      </c>
      <c r="BO9" s="3" t="s">
        <v>44</v>
      </c>
      <c r="BP9" s="3" t="s">
        <v>45</v>
      </c>
      <c r="BQ9" t="s">
        <v>46</v>
      </c>
      <c r="BR9" t="s">
        <v>47</v>
      </c>
      <c r="BS9" t="s">
        <v>48</v>
      </c>
      <c r="BT9" t="s">
        <v>49</v>
      </c>
      <c r="BU9" s="3" t="s">
        <v>44</v>
      </c>
      <c r="BV9" s="3" t="s">
        <v>45</v>
      </c>
      <c r="BW9" t="s">
        <v>46</v>
      </c>
      <c r="BX9" t="s">
        <v>47</v>
      </c>
      <c r="BY9" t="s">
        <v>48</v>
      </c>
      <c r="BZ9" t="s">
        <v>49</v>
      </c>
      <c r="CA9" s="3" t="s">
        <v>44</v>
      </c>
      <c r="CB9" s="3" t="s">
        <v>45</v>
      </c>
      <c r="CC9" t="s">
        <v>46</v>
      </c>
      <c r="CD9" t="s">
        <v>47</v>
      </c>
      <c r="CE9" t="s">
        <v>48</v>
      </c>
      <c r="CF9" t="s">
        <v>49</v>
      </c>
      <c r="CG9" s="3" t="s">
        <v>44</v>
      </c>
      <c r="CH9" s="3" t="s">
        <v>45</v>
      </c>
      <c r="CI9" t="s">
        <v>46</v>
      </c>
      <c r="CJ9" t="s">
        <v>47</v>
      </c>
      <c r="CK9" t="s">
        <v>48</v>
      </c>
      <c r="CL9" t="s">
        <v>49</v>
      </c>
      <c r="CM9" s="3" t="s">
        <v>44</v>
      </c>
      <c r="CN9" s="3" t="s">
        <v>45</v>
      </c>
      <c r="CO9" t="s">
        <v>46</v>
      </c>
      <c r="CP9" t="s">
        <v>47</v>
      </c>
      <c r="CQ9" t="s">
        <v>48</v>
      </c>
      <c r="CR9" t="s">
        <v>49</v>
      </c>
      <c r="CS9" s="3" t="s">
        <v>44</v>
      </c>
      <c r="CT9" s="3" t="s">
        <v>45</v>
      </c>
      <c r="CU9" t="s">
        <v>46</v>
      </c>
      <c r="CV9" t="s">
        <v>47</v>
      </c>
      <c r="CW9" t="s">
        <v>48</v>
      </c>
      <c r="CX9" t="s">
        <v>49</v>
      </c>
      <c r="CY9" s="3" t="s">
        <v>44</v>
      </c>
      <c r="CZ9" s="3" t="s">
        <v>45</v>
      </c>
      <c r="DA9" t="s">
        <v>46</v>
      </c>
      <c r="DB9" t="s">
        <v>47</v>
      </c>
      <c r="DC9" t="s">
        <v>48</v>
      </c>
      <c r="DD9" t="s">
        <v>49</v>
      </c>
      <c r="DE9" s="3" t="s">
        <v>44</v>
      </c>
      <c r="DF9" s="3" t="s">
        <v>45</v>
      </c>
      <c r="DG9" t="s">
        <v>46</v>
      </c>
      <c r="DH9" t="s">
        <v>47</v>
      </c>
      <c r="DI9" t="s">
        <v>48</v>
      </c>
      <c r="DJ9" t="s">
        <v>49</v>
      </c>
      <c r="DK9" s="3" t="s">
        <v>44</v>
      </c>
      <c r="DL9" s="3" t="s">
        <v>45</v>
      </c>
      <c r="DM9" t="s">
        <v>46</v>
      </c>
      <c r="DN9" t="s">
        <v>47</v>
      </c>
      <c r="DO9" t="s">
        <v>48</v>
      </c>
      <c r="DP9" t="s">
        <v>49</v>
      </c>
      <c r="DQ9" s="3" t="s">
        <v>44</v>
      </c>
      <c r="DR9" s="3" t="s">
        <v>45</v>
      </c>
      <c r="DS9" t="s">
        <v>46</v>
      </c>
      <c r="DT9" t="s">
        <v>47</v>
      </c>
      <c r="DU9" t="s">
        <v>48</v>
      </c>
      <c r="DV9" t="s">
        <v>49</v>
      </c>
      <c r="DW9" s="3" t="s">
        <v>44</v>
      </c>
      <c r="DX9" s="3" t="s">
        <v>45</v>
      </c>
      <c r="DY9" t="s">
        <v>46</v>
      </c>
      <c r="DZ9" t="s">
        <v>47</v>
      </c>
      <c r="EA9" t="s">
        <v>48</v>
      </c>
      <c r="EB9" t="s">
        <v>49</v>
      </c>
      <c r="EC9" s="3" t="s">
        <v>44</v>
      </c>
      <c r="ED9" s="3" t="s">
        <v>45</v>
      </c>
      <c r="EE9" t="s">
        <v>46</v>
      </c>
      <c r="EF9" t="s">
        <v>47</v>
      </c>
      <c r="EG9" t="s">
        <v>48</v>
      </c>
      <c r="EH9" t="s">
        <v>49</v>
      </c>
      <c r="EI9" s="3" t="s">
        <v>44</v>
      </c>
      <c r="EJ9" s="3" t="s">
        <v>45</v>
      </c>
      <c r="EK9" t="s">
        <v>46</v>
      </c>
      <c r="EL9" t="s">
        <v>47</v>
      </c>
      <c r="EM9" t="s">
        <v>48</v>
      </c>
      <c r="EN9" t="s">
        <v>49</v>
      </c>
      <c r="EO9" s="3" t="s">
        <v>44</v>
      </c>
      <c r="EP9" s="3" t="s">
        <v>45</v>
      </c>
      <c r="EQ9" t="s">
        <v>46</v>
      </c>
      <c r="ER9" t="s">
        <v>47</v>
      </c>
      <c r="ES9" t="s">
        <v>48</v>
      </c>
      <c r="ET9" t="s">
        <v>49</v>
      </c>
      <c r="EU9" s="3" t="s">
        <v>44</v>
      </c>
      <c r="EV9" s="3" t="s">
        <v>45</v>
      </c>
      <c r="EW9" t="s">
        <v>46</v>
      </c>
      <c r="EX9" t="s">
        <v>47</v>
      </c>
      <c r="EY9" t="s">
        <v>48</v>
      </c>
      <c r="EZ9" t="s">
        <v>49</v>
      </c>
      <c r="FA9" s="3" t="s">
        <v>44</v>
      </c>
      <c r="FB9" s="3" t="s">
        <v>45</v>
      </c>
      <c r="FC9" t="s">
        <v>46</v>
      </c>
      <c r="FD9" t="s">
        <v>47</v>
      </c>
      <c r="FE9" t="s">
        <v>48</v>
      </c>
      <c r="FF9" t="s">
        <v>49</v>
      </c>
      <c r="FG9" s="3" t="s">
        <v>44</v>
      </c>
      <c r="FH9" s="3" t="s">
        <v>45</v>
      </c>
      <c r="FI9" t="s">
        <v>46</v>
      </c>
      <c r="FJ9" t="s">
        <v>47</v>
      </c>
      <c r="FK9" t="s">
        <v>48</v>
      </c>
      <c r="FL9" t="s">
        <v>49</v>
      </c>
      <c r="FM9" s="3" t="s">
        <v>44</v>
      </c>
      <c r="FN9" s="3" t="s">
        <v>45</v>
      </c>
      <c r="FO9" t="s">
        <v>46</v>
      </c>
      <c r="FP9" t="s">
        <v>47</v>
      </c>
      <c r="FQ9" t="s">
        <v>48</v>
      </c>
      <c r="FR9" t="s">
        <v>49</v>
      </c>
    </row>
    <row r="10" spans="1:174" ht="72" x14ac:dyDescent="0.3">
      <c r="A10" t="s">
        <v>50</v>
      </c>
      <c r="B10" t="s">
        <v>50</v>
      </c>
      <c r="C10" t="s">
        <v>51</v>
      </c>
      <c r="D10" s="4" t="s">
        <v>52</v>
      </c>
      <c r="E10">
        <v>40</v>
      </c>
      <c r="F10" t="s">
        <v>53</v>
      </c>
      <c r="G10" s="3" t="s">
        <v>54</v>
      </c>
      <c r="H10" s="3">
        <v>28800</v>
      </c>
      <c r="I10">
        <v>40</v>
      </c>
      <c r="J10" s="5">
        <v>1152000</v>
      </c>
      <c r="K10" s="4" t="s">
        <v>55</v>
      </c>
      <c r="L10" t="s">
        <v>56</v>
      </c>
      <c r="M10" s="3" t="s">
        <v>54</v>
      </c>
      <c r="N10" s="3">
        <v>3391.4</v>
      </c>
      <c r="O10">
        <v>40</v>
      </c>
      <c r="P10" s="5">
        <v>135656</v>
      </c>
      <c r="Q10" s="4" t="s">
        <v>57</v>
      </c>
      <c r="R10" t="s">
        <v>58</v>
      </c>
      <c r="S10" s="3" t="s">
        <v>54</v>
      </c>
      <c r="T10" s="3">
        <v>97990</v>
      </c>
      <c r="U10">
        <v>40</v>
      </c>
      <c r="V10" s="5">
        <v>3919600</v>
      </c>
      <c r="W10" s="4" t="s">
        <v>59</v>
      </c>
      <c r="X10" t="s">
        <v>60</v>
      </c>
      <c r="Y10" s="3" t="s">
        <v>54</v>
      </c>
      <c r="Z10" s="3">
        <v>36028.6</v>
      </c>
      <c r="AA10">
        <v>40</v>
      </c>
      <c r="AB10" s="5">
        <v>1441144</v>
      </c>
      <c r="AC10" s="4" t="s">
        <v>61</v>
      </c>
      <c r="AD10" t="s">
        <v>62</v>
      </c>
      <c r="AE10" s="3"/>
      <c r="AF10" s="3"/>
      <c r="AH10" s="5"/>
      <c r="AK10" s="3"/>
      <c r="AL10" s="3"/>
      <c r="AN10" s="5"/>
      <c r="AQ10" s="3"/>
      <c r="AR10" s="3"/>
      <c r="AT10" s="5"/>
      <c r="AW10" s="3"/>
      <c r="AX10" s="3"/>
      <c r="AZ10" s="5"/>
      <c r="BC10" s="3"/>
      <c r="BD10" s="3"/>
      <c r="BF10" s="5"/>
      <c r="BI10" s="3"/>
      <c r="BJ10" s="3"/>
      <c r="BL10" s="5"/>
      <c r="BO10" s="3"/>
      <c r="BP10" s="3"/>
      <c r="BR10" s="5"/>
      <c r="BU10" s="3"/>
      <c r="BV10" s="3"/>
      <c r="BX10" s="5"/>
      <c r="CA10" s="3"/>
      <c r="CB10" s="3"/>
      <c r="CD10" s="5"/>
      <c r="CG10" s="3"/>
      <c r="CH10" s="3"/>
      <c r="CJ10" s="5"/>
      <c r="CM10" s="3"/>
      <c r="CN10" s="3"/>
      <c r="CP10" s="5"/>
      <c r="CS10" s="3"/>
      <c r="CT10" s="3"/>
      <c r="CV10" s="5"/>
      <c r="CY10" s="3"/>
      <c r="CZ10" s="3"/>
      <c r="DB10" s="5"/>
      <c r="DE10" s="3"/>
      <c r="DF10" s="3"/>
      <c r="DH10" s="5"/>
      <c r="DK10" s="3"/>
      <c r="DL10" s="3"/>
      <c r="DN10" s="5"/>
      <c r="DQ10" s="3"/>
      <c r="DR10" s="3"/>
      <c r="DT10" s="5"/>
      <c r="DW10" s="3"/>
      <c r="DX10" s="3"/>
      <c r="DZ10" s="5"/>
      <c r="EC10" s="3"/>
      <c r="ED10" s="3"/>
      <c r="EF10" s="5"/>
      <c r="EI10" s="3"/>
      <c r="EJ10" s="3"/>
      <c r="EL10" s="5"/>
      <c r="EO10" s="3"/>
      <c r="EP10" s="3"/>
      <c r="ER10" s="5"/>
      <c r="EU10" s="3"/>
      <c r="EV10" s="3"/>
      <c r="EX10" s="5"/>
      <c r="FA10" s="3"/>
      <c r="FB10" s="3"/>
      <c r="FD10" s="5"/>
      <c r="FG10" s="3"/>
      <c r="FH10" s="3"/>
      <c r="FJ10" s="5"/>
      <c r="FM10" s="3"/>
      <c r="FN10" s="3"/>
      <c r="FP10" s="5"/>
    </row>
    <row r="11" spans="1:174" ht="100.8" x14ac:dyDescent="0.3">
      <c r="A11" t="s">
        <v>63</v>
      </c>
      <c r="B11" t="s">
        <v>50</v>
      </c>
      <c r="C11" t="s">
        <v>64</v>
      </c>
      <c r="D11" s="4" t="s">
        <v>65</v>
      </c>
      <c r="E11">
        <v>60</v>
      </c>
      <c r="F11" t="s">
        <v>66</v>
      </c>
      <c r="G11" s="3"/>
      <c r="H11" s="3"/>
      <c r="J11" s="5"/>
      <c r="M11" s="3" t="s">
        <v>54</v>
      </c>
      <c r="N11" s="3">
        <v>2450</v>
      </c>
      <c r="O11">
        <v>60</v>
      </c>
      <c r="P11" s="5">
        <v>147000</v>
      </c>
      <c r="Q11" t="s">
        <v>67</v>
      </c>
      <c r="R11" t="s">
        <v>68</v>
      </c>
      <c r="S11" s="3" t="s">
        <v>54</v>
      </c>
      <c r="T11" s="3">
        <v>6995</v>
      </c>
      <c r="U11">
        <v>60</v>
      </c>
      <c r="V11" s="5">
        <v>419700</v>
      </c>
      <c r="W11" s="4" t="s">
        <v>69</v>
      </c>
      <c r="X11" t="s">
        <v>70</v>
      </c>
      <c r="Y11" s="3" t="s">
        <v>54</v>
      </c>
      <c r="Z11" s="3">
        <v>2338.8000000000002</v>
      </c>
      <c r="AA11">
        <v>60</v>
      </c>
      <c r="AB11" s="5">
        <v>140328</v>
      </c>
      <c r="AC11" s="4" t="s">
        <v>71</v>
      </c>
      <c r="AD11" t="s">
        <v>72</v>
      </c>
      <c r="AE11" s="3" t="s">
        <v>54</v>
      </c>
      <c r="AF11" s="3">
        <v>6953</v>
      </c>
      <c r="AG11">
        <v>60</v>
      </c>
      <c r="AH11" s="5">
        <v>417180</v>
      </c>
      <c r="AI11" t="s">
        <v>73</v>
      </c>
      <c r="AJ11" t="s">
        <v>74</v>
      </c>
      <c r="AK11" s="3" t="s">
        <v>54</v>
      </c>
      <c r="AL11" s="3">
        <v>1529.64</v>
      </c>
      <c r="AM11">
        <v>60</v>
      </c>
      <c r="AN11" s="5">
        <v>91778.4</v>
      </c>
      <c r="AO11" s="4" t="s">
        <v>75</v>
      </c>
      <c r="AP11" t="s">
        <v>76</v>
      </c>
      <c r="AQ11" s="3" t="s">
        <v>54</v>
      </c>
      <c r="AR11" s="3">
        <v>2240.39</v>
      </c>
      <c r="AS11">
        <v>60</v>
      </c>
      <c r="AT11" s="5">
        <v>134423.4</v>
      </c>
      <c r="AU11" t="s">
        <v>77</v>
      </c>
      <c r="AV11" t="s">
        <v>78</v>
      </c>
      <c r="AW11" s="3" t="s">
        <v>54</v>
      </c>
      <c r="AX11" s="3">
        <v>3340</v>
      </c>
      <c r="AY11">
        <v>60</v>
      </c>
      <c r="AZ11" s="5">
        <v>200400</v>
      </c>
      <c r="BA11" t="s">
        <v>79</v>
      </c>
      <c r="BB11" t="s">
        <v>80</v>
      </c>
      <c r="BC11" s="3"/>
      <c r="BD11" s="3"/>
      <c r="BF11" s="5"/>
      <c r="BI11" s="3"/>
      <c r="BJ11" s="3"/>
      <c r="BL11" s="5"/>
      <c r="BO11" s="3"/>
      <c r="BP11" s="3"/>
      <c r="BR11" s="5"/>
      <c r="BU11" s="3"/>
      <c r="BV11" s="3"/>
      <c r="BX11" s="5"/>
      <c r="CA11" s="3"/>
      <c r="CB11" s="3"/>
      <c r="CD11" s="5"/>
      <c r="CG11" s="3"/>
      <c r="CH11" s="3"/>
      <c r="CJ11" s="5"/>
      <c r="CM11" s="3"/>
      <c r="CN11" s="3"/>
      <c r="CP11" s="5"/>
      <c r="CS11" s="3"/>
      <c r="CT11" s="3"/>
      <c r="CV11" s="5"/>
      <c r="CY11" s="3"/>
      <c r="CZ11" s="3"/>
      <c r="DB11" s="5"/>
      <c r="DE11" s="3"/>
      <c r="DF11" s="3"/>
      <c r="DH11" s="5"/>
      <c r="DK11" s="3"/>
      <c r="DL11" s="3"/>
      <c r="DN11" s="5"/>
      <c r="DQ11" s="3"/>
      <c r="DR11" s="3"/>
      <c r="DT11" s="5"/>
      <c r="DW11" s="3"/>
      <c r="DX11" s="3"/>
      <c r="DZ11" s="5"/>
      <c r="EC11" s="3"/>
      <c r="ED11" s="3"/>
      <c r="EF11" s="5"/>
      <c r="EI11" s="3"/>
      <c r="EJ11" s="3"/>
      <c r="EL11" s="5"/>
      <c r="EO11" s="3"/>
      <c r="EP11" s="3"/>
      <c r="ER11" s="5"/>
      <c r="EU11" s="3"/>
      <c r="EV11" s="3"/>
      <c r="EX11" s="5"/>
      <c r="FA11" s="3"/>
      <c r="FB11" s="3"/>
      <c r="FD11" s="5"/>
      <c r="FG11" s="3"/>
      <c r="FH11" s="3"/>
      <c r="FJ11" s="5"/>
      <c r="FM11" s="3"/>
      <c r="FN11" s="3"/>
      <c r="FP11" s="5"/>
    </row>
    <row r="12" spans="1:174" ht="201.6" x14ac:dyDescent="0.3">
      <c r="A12" t="s">
        <v>81</v>
      </c>
      <c r="B12" t="s">
        <v>50</v>
      </c>
      <c r="C12" t="s">
        <v>82</v>
      </c>
      <c r="D12" s="4" t="s">
        <v>83</v>
      </c>
      <c r="E12">
        <v>7500</v>
      </c>
      <c r="F12" t="s">
        <v>66</v>
      </c>
      <c r="G12" s="3" t="s">
        <v>54</v>
      </c>
      <c r="H12" s="3">
        <v>203.28</v>
      </c>
      <c r="I12">
        <v>7500</v>
      </c>
      <c r="J12" s="5">
        <v>1524600</v>
      </c>
      <c r="K12" s="4" t="s">
        <v>84</v>
      </c>
      <c r="L12" t="s">
        <v>85</v>
      </c>
      <c r="M12" s="3" t="s">
        <v>54</v>
      </c>
      <c r="N12" s="3">
        <v>13.4</v>
      </c>
      <c r="O12">
        <v>7500</v>
      </c>
      <c r="P12" s="5">
        <v>100500</v>
      </c>
      <c r="Q12" s="4" t="s">
        <v>86</v>
      </c>
      <c r="R12" t="s">
        <v>87</v>
      </c>
      <c r="S12" s="3" t="s">
        <v>54</v>
      </c>
      <c r="T12" s="3">
        <v>320</v>
      </c>
      <c r="U12">
        <v>7500</v>
      </c>
      <c r="V12" s="5">
        <v>2400000</v>
      </c>
      <c r="W12" s="4" t="s">
        <v>88</v>
      </c>
      <c r="X12" t="s">
        <v>89</v>
      </c>
      <c r="Y12" s="3" t="s">
        <v>54</v>
      </c>
      <c r="Z12" s="3">
        <v>11.1</v>
      </c>
      <c r="AA12">
        <v>7500</v>
      </c>
      <c r="AB12" s="5">
        <v>83250</v>
      </c>
      <c r="AC12" s="4" t="s">
        <v>90</v>
      </c>
      <c r="AD12" t="s">
        <v>91</v>
      </c>
      <c r="AE12" s="3"/>
      <c r="AF12" s="3"/>
      <c r="AH12" s="5"/>
      <c r="AK12" s="3" t="s">
        <v>54</v>
      </c>
      <c r="AL12" s="3">
        <v>20.46</v>
      </c>
      <c r="AM12">
        <v>7500</v>
      </c>
      <c r="AN12" s="5">
        <v>153450</v>
      </c>
      <c r="AO12" s="4" t="s">
        <v>92</v>
      </c>
      <c r="AP12" t="s">
        <v>93</v>
      </c>
      <c r="AQ12" s="3" t="s">
        <v>54</v>
      </c>
      <c r="AR12" s="3">
        <v>13.63</v>
      </c>
      <c r="AS12">
        <v>7500</v>
      </c>
      <c r="AT12" s="5">
        <v>102225</v>
      </c>
      <c r="AU12" s="4" t="s">
        <v>94</v>
      </c>
      <c r="AV12" t="s">
        <v>95</v>
      </c>
      <c r="AW12" s="3" t="s">
        <v>54</v>
      </c>
      <c r="AX12" s="3">
        <v>20</v>
      </c>
      <c r="AY12">
        <v>7500</v>
      </c>
      <c r="AZ12" s="5">
        <v>150000</v>
      </c>
      <c r="BA12" s="4" t="s">
        <v>96</v>
      </c>
      <c r="BB12" t="s">
        <v>97</v>
      </c>
      <c r="BC12" s="3" t="s">
        <v>54</v>
      </c>
      <c r="BD12" s="3">
        <v>29</v>
      </c>
      <c r="BE12">
        <v>7500</v>
      </c>
      <c r="BF12" s="5">
        <v>217500</v>
      </c>
      <c r="BG12" s="4" t="s">
        <v>98</v>
      </c>
      <c r="BH12" t="s">
        <v>99</v>
      </c>
      <c r="BI12" s="3" t="s">
        <v>54</v>
      </c>
      <c r="BJ12" s="3">
        <v>25.96</v>
      </c>
      <c r="BK12">
        <v>7500</v>
      </c>
      <c r="BL12" s="5">
        <v>194700</v>
      </c>
      <c r="BM12" s="4" t="s">
        <v>100</v>
      </c>
      <c r="BN12" t="s">
        <v>101</v>
      </c>
      <c r="BO12" s="3"/>
      <c r="BP12" s="3"/>
      <c r="BR12" s="5"/>
      <c r="BU12" s="3"/>
      <c r="BV12" s="3"/>
      <c r="BX12" s="5"/>
      <c r="CA12" s="3"/>
      <c r="CB12" s="3"/>
      <c r="CD12" s="5"/>
      <c r="CG12" s="3"/>
      <c r="CH12" s="3"/>
      <c r="CJ12" s="5"/>
      <c r="CM12" s="3"/>
      <c r="CN12" s="3"/>
      <c r="CP12" s="5"/>
      <c r="CS12" s="3"/>
      <c r="CT12" s="3"/>
      <c r="CV12" s="5"/>
      <c r="CY12" s="3"/>
      <c r="CZ12" s="3"/>
      <c r="DB12" s="5"/>
      <c r="DE12" s="3"/>
      <c r="DF12" s="3"/>
      <c r="DH12" s="5"/>
      <c r="DK12" s="3"/>
      <c r="DL12" s="3"/>
      <c r="DN12" s="5"/>
      <c r="DQ12" s="3"/>
      <c r="DR12" s="3"/>
      <c r="DT12" s="5"/>
      <c r="DW12" s="3"/>
      <c r="DX12" s="3"/>
      <c r="DZ12" s="5"/>
      <c r="EC12" s="3"/>
      <c r="ED12" s="3"/>
      <c r="EF12" s="5"/>
      <c r="EI12" s="3"/>
      <c r="EJ12" s="3"/>
      <c r="EL12" s="5"/>
      <c r="EO12" s="3"/>
      <c r="EP12" s="3"/>
      <c r="ER12" s="5"/>
      <c r="EU12" s="3"/>
      <c r="EV12" s="3"/>
      <c r="EX12" s="5"/>
      <c r="FA12" s="3"/>
      <c r="FB12" s="3"/>
      <c r="FD12" s="5"/>
      <c r="FG12" s="3"/>
      <c r="FH12" s="3"/>
      <c r="FJ12" s="5"/>
      <c r="FM12" s="3"/>
      <c r="FN12" s="3"/>
      <c r="FP12" s="5"/>
    </row>
    <row r="13" spans="1:174" ht="201.6" x14ac:dyDescent="0.3">
      <c r="A13" t="s">
        <v>81</v>
      </c>
      <c r="B13" t="s">
        <v>63</v>
      </c>
      <c r="C13" t="s">
        <v>82</v>
      </c>
      <c r="D13" s="4" t="s">
        <v>83</v>
      </c>
      <c r="E13">
        <v>7500</v>
      </c>
      <c r="F13" t="s">
        <v>66</v>
      </c>
      <c r="G13" s="3"/>
      <c r="H13" s="3"/>
      <c r="J13" s="5"/>
      <c r="M13" s="3"/>
      <c r="N13" s="3"/>
      <c r="P13" s="5"/>
      <c r="S13" s="3"/>
      <c r="T13" s="3"/>
      <c r="V13" s="5"/>
      <c r="Y13" s="3"/>
      <c r="Z13" s="3"/>
      <c r="AB13" s="5"/>
      <c r="AE13" s="3"/>
      <c r="AF13" s="3"/>
      <c r="AH13" s="5"/>
      <c r="AK13" s="3"/>
      <c r="AL13" s="3"/>
      <c r="AN13" s="5"/>
      <c r="AQ13" s="3" t="s">
        <v>54</v>
      </c>
      <c r="AR13" s="3">
        <v>13.91</v>
      </c>
      <c r="AS13">
        <v>7500</v>
      </c>
      <c r="AT13" s="5">
        <v>104325</v>
      </c>
      <c r="AU13" s="4" t="s">
        <v>102</v>
      </c>
      <c r="AV13" t="s">
        <v>103</v>
      </c>
      <c r="AW13" s="3"/>
      <c r="AX13" s="3"/>
      <c r="AZ13" s="5"/>
      <c r="BC13" s="3"/>
      <c r="BD13" s="3"/>
      <c r="BF13" s="5"/>
      <c r="BI13" s="3"/>
      <c r="BJ13" s="3"/>
      <c r="BL13" s="5"/>
      <c r="BO13" s="3"/>
      <c r="BP13" s="3"/>
      <c r="BR13" s="5"/>
      <c r="BU13" s="3"/>
      <c r="BV13" s="3"/>
      <c r="BX13" s="5"/>
      <c r="CA13" s="3"/>
      <c r="CB13" s="3"/>
      <c r="CD13" s="5"/>
      <c r="CG13" s="3"/>
      <c r="CH13" s="3"/>
      <c r="CJ13" s="5"/>
      <c r="CM13" s="3"/>
      <c r="CN13" s="3"/>
      <c r="CP13" s="5"/>
      <c r="CS13" s="3"/>
      <c r="CT13" s="3"/>
      <c r="CV13" s="5"/>
      <c r="CY13" s="3"/>
      <c r="CZ13" s="3"/>
      <c r="DB13" s="5"/>
      <c r="DE13" s="3"/>
      <c r="DF13" s="3"/>
      <c r="DH13" s="5"/>
      <c r="DK13" s="3"/>
      <c r="DL13" s="3"/>
      <c r="DN13" s="5"/>
      <c r="DQ13" s="3"/>
      <c r="DR13" s="3"/>
      <c r="DT13" s="5"/>
      <c r="DW13" s="3"/>
      <c r="DX13" s="3"/>
      <c r="DZ13" s="5"/>
      <c r="EC13" s="3"/>
      <c r="ED13" s="3"/>
      <c r="EF13" s="5"/>
      <c r="EI13" s="3"/>
      <c r="EJ13" s="3"/>
      <c r="EL13" s="5"/>
      <c r="EO13" s="3"/>
      <c r="EP13" s="3"/>
      <c r="ER13" s="5"/>
      <c r="EU13" s="3"/>
      <c r="EV13" s="3"/>
      <c r="EX13" s="5"/>
      <c r="FA13" s="3"/>
      <c r="FB13" s="3"/>
      <c r="FD13" s="5"/>
      <c r="FG13" s="3"/>
      <c r="FH13" s="3"/>
      <c r="FJ13" s="5"/>
      <c r="FM13" s="3"/>
      <c r="FN13" s="3"/>
      <c r="FP13" s="5"/>
    </row>
    <row r="14" spans="1:174" ht="115.2" x14ac:dyDescent="0.3">
      <c r="A14" t="s">
        <v>104</v>
      </c>
      <c r="B14" t="s">
        <v>50</v>
      </c>
      <c r="C14" t="s">
        <v>105</v>
      </c>
      <c r="D14" s="4" t="s">
        <v>106</v>
      </c>
      <c r="E14">
        <v>1250</v>
      </c>
      <c r="F14" t="s">
        <v>66</v>
      </c>
      <c r="G14" s="3"/>
      <c r="H14" s="3"/>
      <c r="J14" s="5"/>
      <c r="M14" s="3"/>
      <c r="N14" s="3"/>
      <c r="P14" s="5"/>
      <c r="S14" s="3" t="s">
        <v>54</v>
      </c>
      <c r="T14" s="3">
        <v>3175</v>
      </c>
      <c r="U14">
        <v>1250</v>
      </c>
      <c r="V14" s="5">
        <v>3968750</v>
      </c>
      <c r="W14" s="4" t="s">
        <v>107</v>
      </c>
      <c r="X14" t="s">
        <v>108</v>
      </c>
      <c r="Y14" s="3" t="s">
        <v>54</v>
      </c>
      <c r="Z14" s="3">
        <v>1322.2</v>
      </c>
      <c r="AA14">
        <v>1250</v>
      </c>
      <c r="AB14" s="5">
        <v>1652750</v>
      </c>
      <c r="AC14" s="4" t="s">
        <v>109</v>
      </c>
      <c r="AD14" t="s">
        <v>110</v>
      </c>
      <c r="AE14" s="3"/>
      <c r="AF14" s="3"/>
      <c r="AH14" s="5"/>
      <c r="AK14" s="3"/>
      <c r="AL14" s="3"/>
      <c r="AN14" s="5"/>
      <c r="AQ14" s="3"/>
      <c r="AR14" s="3"/>
      <c r="AT14" s="5"/>
      <c r="AW14" s="3"/>
      <c r="AX14" s="3"/>
      <c r="AZ14" s="5"/>
      <c r="BC14" s="3"/>
      <c r="BD14" s="3"/>
      <c r="BF14" s="5"/>
      <c r="BI14" s="3"/>
      <c r="BJ14" s="3"/>
      <c r="BL14" s="5"/>
      <c r="BO14" s="3" t="s">
        <v>54</v>
      </c>
      <c r="BP14" s="3">
        <v>5158.8</v>
      </c>
      <c r="BQ14">
        <v>1250</v>
      </c>
      <c r="BR14" s="5">
        <v>6448500</v>
      </c>
      <c r="BS14" s="4" t="s">
        <v>111</v>
      </c>
      <c r="BT14" t="s">
        <v>112</v>
      </c>
      <c r="BU14" s="3"/>
      <c r="BV14" s="3"/>
      <c r="BX14" s="5"/>
      <c r="CA14" s="3"/>
      <c r="CB14" s="3"/>
      <c r="CD14" s="5"/>
      <c r="CG14" s="3"/>
      <c r="CH14" s="3"/>
      <c r="CJ14" s="5"/>
      <c r="CM14" s="3"/>
      <c r="CN14" s="3"/>
      <c r="CP14" s="5"/>
      <c r="CS14" s="3"/>
      <c r="CT14" s="3"/>
      <c r="CV14" s="5"/>
      <c r="CY14" s="3"/>
      <c r="CZ14" s="3"/>
      <c r="DB14" s="5"/>
      <c r="DE14" s="3"/>
      <c r="DF14" s="3"/>
      <c r="DH14" s="5"/>
      <c r="DK14" s="3"/>
      <c r="DL14" s="3"/>
      <c r="DN14" s="5"/>
      <c r="DQ14" s="3"/>
      <c r="DR14" s="3"/>
      <c r="DT14" s="5"/>
      <c r="DW14" s="3"/>
      <c r="DX14" s="3"/>
      <c r="DZ14" s="5"/>
      <c r="EC14" s="3"/>
      <c r="ED14" s="3"/>
      <c r="EF14" s="5"/>
      <c r="EI14" s="3"/>
      <c r="EJ14" s="3"/>
      <c r="EL14" s="5"/>
      <c r="EO14" s="3"/>
      <c r="EP14" s="3"/>
      <c r="ER14" s="5"/>
      <c r="EU14" s="3"/>
      <c r="EV14" s="3"/>
      <c r="EX14" s="5"/>
      <c r="FA14" s="3"/>
      <c r="FB14" s="3"/>
      <c r="FD14" s="5"/>
      <c r="FG14" s="3"/>
      <c r="FH14" s="3"/>
      <c r="FJ14" s="5"/>
      <c r="FM14" s="3"/>
      <c r="FN14" s="3"/>
      <c r="FP14" s="5"/>
    </row>
    <row r="15" spans="1:174" ht="28.8" x14ac:dyDescent="0.3">
      <c r="A15" t="s">
        <v>113</v>
      </c>
      <c r="B15" t="s">
        <v>50</v>
      </c>
      <c r="C15" t="s">
        <v>114</v>
      </c>
      <c r="D15" s="4" t="s">
        <v>115</v>
      </c>
      <c r="E15">
        <v>16000</v>
      </c>
      <c r="F15" t="s">
        <v>53</v>
      </c>
      <c r="G15" s="3"/>
      <c r="H15" s="3"/>
      <c r="J15" s="5"/>
      <c r="M15" s="3"/>
      <c r="N15" s="3"/>
      <c r="P15" s="5"/>
      <c r="S15" s="3"/>
      <c r="T15" s="3"/>
      <c r="V15" s="5"/>
      <c r="Y15" s="3"/>
      <c r="Z15" s="3"/>
      <c r="AB15" s="5"/>
      <c r="AE15" s="3"/>
      <c r="AF15" s="3"/>
      <c r="AH15" s="5"/>
      <c r="AK15" s="3"/>
      <c r="AL15" s="3"/>
      <c r="AN15" s="5"/>
      <c r="AQ15" s="3" t="s">
        <v>54</v>
      </c>
      <c r="AR15" s="3">
        <v>5.89</v>
      </c>
      <c r="AS15">
        <v>16000</v>
      </c>
      <c r="AT15" s="5">
        <v>94240</v>
      </c>
      <c r="AU15" s="4" t="s">
        <v>116</v>
      </c>
      <c r="AV15" t="s">
        <v>117</v>
      </c>
      <c r="AW15" s="3" t="s">
        <v>54</v>
      </c>
      <c r="AX15" s="3">
        <v>11</v>
      </c>
      <c r="AY15">
        <v>16000</v>
      </c>
      <c r="AZ15" s="5">
        <v>176000</v>
      </c>
      <c r="BA15" t="s">
        <v>118</v>
      </c>
      <c r="BB15" t="s">
        <v>119</v>
      </c>
      <c r="BC15" s="3" t="s">
        <v>54</v>
      </c>
      <c r="BD15" s="3">
        <v>67</v>
      </c>
      <c r="BE15">
        <v>16000</v>
      </c>
      <c r="BF15" s="5">
        <v>1072000</v>
      </c>
      <c r="BG15" s="4" t="s">
        <v>120</v>
      </c>
      <c r="BH15" t="s">
        <v>121</v>
      </c>
      <c r="BI15" s="3" t="s">
        <v>54</v>
      </c>
      <c r="BJ15" s="3">
        <v>7.39</v>
      </c>
      <c r="BK15">
        <v>16000</v>
      </c>
      <c r="BL15" s="5">
        <v>118240</v>
      </c>
      <c r="BM15" t="s">
        <v>122</v>
      </c>
      <c r="BN15" t="s">
        <v>123</v>
      </c>
      <c r="BO15" s="3"/>
      <c r="BP15" s="3"/>
      <c r="BR15" s="5"/>
      <c r="BU15" s="3" t="s">
        <v>54</v>
      </c>
      <c r="BV15" s="3">
        <v>16.489999999999998</v>
      </c>
      <c r="BW15">
        <v>16000</v>
      </c>
      <c r="BX15" s="5">
        <v>263840</v>
      </c>
      <c r="BY15" s="4" t="s">
        <v>124</v>
      </c>
      <c r="BZ15" t="s">
        <v>125</v>
      </c>
      <c r="CA15" s="3" t="s">
        <v>54</v>
      </c>
      <c r="CB15" s="3">
        <v>5.8</v>
      </c>
      <c r="CC15">
        <v>16000</v>
      </c>
      <c r="CD15" s="5">
        <v>92800</v>
      </c>
      <c r="CE15" s="4" t="s">
        <v>126</v>
      </c>
      <c r="CF15" t="s">
        <v>127</v>
      </c>
      <c r="CG15" s="3" t="s">
        <v>54</v>
      </c>
      <c r="CH15" s="3">
        <v>8.7799999999999994</v>
      </c>
      <c r="CI15">
        <v>16000</v>
      </c>
      <c r="CJ15" s="5">
        <v>140480</v>
      </c>
      <c r="CK15" t="s">
        <v>128</v>
      </c>
      <c r="CL15" t="s">
        <v>129</v>
      </c>
      <c r="CM15" s="3" t="s">
        <v>54</v>
      </c>
      <c r="CN15" s="3">
        <v>24.2</v>
      </c>
      <c r="CO15">
        <v>16000</v>
      </c>
      <c r="CP15" s="5">
        <v>387200</v>
      </c>
      <c r="CQ15" s="4" t="s">
        <v>130</v>
      </c>
      <c r="CR15" t="s">
        <v>131</v>
      </c>
      <c r="CS15" s="3"/>
      <c r="CT15" s="3"/>
      <c r="CV15" s="5"/>
      <c r="CY15" s="3"/>
      <c r="CZ15" s="3"/>
      <c r="DB15" s="5"/>
      <c r="DE15" s="3"/>
      <c r="DF15" s="3"/>
      <c r="DH15" s="5"/>
      <c r="DK15" s="3"/>
      <c r="DL15" s="3"/>
      <c r="DN15" s="5"/>
      <c r="DQ15" s="3"/>
      <c r="DR15" s="3"/>
      <c r="DT15" s="5"/>
      <c r="DW15" s="3"/>
      <c r="DX15" s="3"/>
      <c r="DZ15" s="5"/>
      <c r="EC15" s="3"/>
      <c r="ED15" s="3"/>
      <c r="EF15" s="5"/>
      <c r="EI15" s="3"/>
      <c r="EJ15" s="3"/>
      <c r="EL15" s="5"/>
      <c r="EO15" s="3"/>
      <c r="EP15" s="3"/>
      <c r="ER15" s="5"/>
      <c r="EU15" s="3"/>
      <c r="EV15" s="3"/>
      <c r="EX15" s="5"/>
      <c r="FA15" s="3"/>
      <c r="FB15" s="3"/>
      <c r="FD15" s="5"/>
      <c r="FG15" s="3"/>
      <c r="FH15" s="3"/>
      <c r="FJ15" s="5"/>
      <c r="FM15" s="3"/>
      <c r="FN15" s="3"/>
      <c r="FP15" s="5"/>
    </row>
    <row r="16" spans="1:174" ht="28.8" x14ac:dyDescent="0.3">
      <c r="A16" t="s">
        <v>132</v>
      </c>
      <c r="B16" t="s">
        <v>50</v>
      </c>
      <c r="C16" t="s">
        <v>133</v>
      </c>
      <c r="D16" s="4" t="s">
        <v>134</v>
      </c>
      <c r="E16">
        <v>16000</v>
      </c>
      <c r="F16" t="s">
        <v>53</v>
      </c>
      <c r="G16" s="3"/>
      <c r="H16" s="3"/>
      <c r="J16" s="5"/>
      <c r="M16" s="3"/>
      <c r="N16" s="3"/>
      <c r="P16" s="5"/>
      <c r="S16" s="3" t="s">
        <v>54</v>
      </c>
      <c r="T16" s="3">
        <v>52</v>
      </c>
      <c r="U16">
        <v>16000</v>
      </c>
      <c r="V16" s="5">
        <v>832000</v>
      </c>
      <c r="W16" s="4" t="s">
        <v>135</v>
      </c>
      <c r="X16" t="s">
        <v>136</v>
      </c>
      <c r="Y16" s="3"/>
      <c r="Z16" s="3"/>
      <c r="AB16" s="5"/>
      <c r="AE16" s="3"/>
      <c r="AF16" s="3"/>
      <c r="AH16" s="5"/>
      <c r="AK16" s="3"/>
      <c r="AL16" s="3"/>
      <c r="AN16" s="5"/>
      <c r="AQ16" s="3" t="s">
        <v>54</v>
      </c>
      <c r="AR16" s="3">
        <v>10.59</v>
      </c>
      <c r="AS16">
        <v>16000</v>
      </c>
      <c r="AT16" s="5">
        <v>169440</v>
      </c>
      <c r="AU16" s="4" t="s">
        <v>137</v>
      </c>
      <c r="AV16" t="s">
        <v>138</v>
      </c>
      <c r="AW16" s="3" t="s">
        <v>54</v>
      </c>
      <c r="AX16" s="3">
        <v>35</v>
      </c>
      <c r="AY16">
        <v>16000</v>
      </c>
      <c r="AZ16" s="5">
        <v>560000</v>
      </c>
      <c r="BA16" t="s">
        <v>139</v>
      </c>
      <c r="BB16" t="s">
        <v>140</v>
      </c>
      <c r="BC16" s="3" t="s">
        <v>54</v>
      </c>
      <c r="BD16" s="3">
        <v>99.9</v>
      </c>
      <c r="BE16">
        <v>16000</v>
      </c>
      <c r="BF16" s="5">
        <v>1598400</v>
      </c>
      <c r="BG16" s="4" t="s">
        <v>141</v>
      </c>
      <c r="BH16" t="s">
        <v>142</v>
      </c>
      <c r="BI16" s="3" t="s">
        <v>54</v>
      </c>
      <c r="BJ16" s="3">
        <v>25.16</v>
      </c>
      <c r="BK16">
        <v>16000</v>
      </c>
      <c r="BL16" s="5">
        <v>402560</v>
      </c>
      <c r="BM16" t="s">
        <v>143</v>
      </c>
      <c r="BN16" t="s">
        <v>144</v>
      </c>
      <c r="BO16" s="3"/>
      <c r="BP16" s="3"/>
      <c r="BR16" s="5"/>
      <c r="BU16" s="3" t="s">
        <v>54</v>
      </c>
      <c r="BV16" s="3">
        <v>25.6</v>
      </c>
      <c r="BW16">
        <v>16000</v>
      </c>
      <c r="BX16" s="5">
        <v>409600</v>
      </c>
      <c r="BY16" s="4" t="s">
        <v>145</v>
      </c>
      <c r="BZ16" t="s">
        <v>146</v>
      </c>
      <c r="CA16" s="3" t="s">
        <v>54</v>
      </c>
      <c r="CB16" s="3">
        <v>19.57</v>
      </c>
      <c r="CC16">
        <v>16000</v>
      </c>
      <c r="CD16" s="5">
        <v>313120</v>
      </c>
      <c r="CE16" s="4" t="s">
        <v>147</v>
      </c>
      <c r="CF16" t="s">
        <v>148</v>
      </c>
      <c r="CG16" s="3"/>
      <c r="CH16" s="3"/>
      <c r="CJ16" s="5"/>
      <c r="CM16" s="3" t="s">
        <v>54</v>
      </c>
      <c r="CN16" s="3">
        <v>41.4</v>
      </c>
      <c r="CO16">
        <v>16000</v>
      </c>
      <c r="CP16" s="5">
        <v>662400</v>
      </c>
      <c r="CQ16" s="4" t="s">
        <v>149</v>
      </c>
      <c r="CR16" t="s">
        <v>150</v>
      </c>
      <c r="CS16" s="3" t="s">
        <v>54</v>
      </c>
      <c r="CT16" s="3">
        <v>76.900000000000006</v>
      </c>
      <c r="CU16">
        <v>16000</v>
      </c>
      <c r="CV16" s="5">
        <v>1230400</v>
      </c>
      <c r="CW16" t="s">
        <v>151</v>
      </c>
      <c r="CX16" t="s">
        <v>152</v>
      </c>
      <c r="CY16" s="3"/>
      <c r="CZ16" s="3"/>
      <c r="DB16" s="5"/>
      <c r="DE16" s="3"/>
      <c r="DF16" s="3"/>
      <c r="DH16" s="5"/>
      <c r="DK16" s="3"/>
      <c r="DL16" s="3"/>
      <c r="DN16" s="5"/>
      <c r="DQ16" s="3"/>
      <c r="DR16" s="3"/>
      <c r="DT16" s="5"/>
      <c r="DW16" s="3"/>
      <c r="DX16" s="3"/>
      <c r="DZ16" s="5"/>
      <c r="EC16" s="3"/>
      <c r="ED16" s="3"/>
      <c r="EF16" s="5"/>
      <c r="EI16" s="3"/>
      <c r="EJ16" s="3"/>
      <c r="EL16" s="5"/>
      <c r="EO16" s="3"/>
      <c r="EP16" s="3"/>
      <c r="ER16" s="5"/>
      <c r="EU16" s="3"/>
      <c r="EV16" s="3"/>
      <c r="EX16" s="5"/>
      <c r="FA16" s="3"/>
      <c r="FB16" s="3"/>
      <c r="FD16" s="5"/>
      <c r="FG16" s="3"/>
      <c r="FH16" s="3"/>
      <c r="FJ16" s="5"/>
      <c r="FM16" s="3"/>
      <c r="FN16" s="3"/>
      <c r="FP16" s="5"/>
    </row>
    <row r="17" spans="1:172" ht="28.8" x14ac:dyDescent="0.3">
      <c r="A17" t="s">
        <v>153</v>
      </c>
      <c r="B17" t="s">
        <v>50</v>
      </c>
      <c r="C17" t="s">
        <v>154</v>
      </c>
      <c r="D17" t="s">
        <v>155</v>
      </c>
      <c r="E17">
        <v>16000</v>
      </c>
      <c r="F17" t="s">
        <v>53</v>
      </c>
      <c r="G17" s="3"/>
      <c r="H17" s="3"/>
      <c r="J17" s="5"/>
      <c r="M17" s="3"/>
      <c r="N17" s="3"/>
      <c r="P17" s="5"/>
      <c r="S17" s="3" t="s">
        <v>54</v>
      </c>
      <c r="T17" s="3">
        <v>59</v>
      </c>
      <c r="U17">
        <v>16000</v>
      </c>
      <c r="V17" s="5">
        <v>944000</v>
      </c>
      <c r="W17" s="4" t="s">
        <v>156</v>
      </c>
      <c r="X17" t="s">
        <v>157</v>
      </c>
      <c r="Y17" s="3"/>
      <c r="Z17" s="3"/>
      <c r="AB17" s="5"/>
      <c r="AE17" s="3"/>
      <c r="AF17" s="3"/>
      <c r="AH17" s="5"/>
      <c r="AK17" s="3" t="s">
        <v>54</v>
      </c>
      <c r="AL17" s="3">
        <v>17.600000000000001</v>
      </c>
      <c r="AM17">
        <v>16000</v>
      </c>
      <c r="AN17" s="5">
        <v>281600</v>
      </c>
      <c r="AO17" s="4" t="s">
        <v>158</v>
      </c>
      <c r="AP17" t="s">
        <v>159</v>
      </c>
      <c r="AQ17" s="3" t="s">
        <v>54</v>
      </c>
      <c r="AR17" s="3">
        <v>11.24</v>
      </c>
      <c r="AS17">
        <v>16000</v>
      </c>
      <c r="AT17" s="5">
        <v>179840</v>
      </c>
      <c r="AU17" s="4" t="s">
        <v>160</v>
      </c>
      <c r="AV17" t="s">
        <v>161</v>
      </c>
      <c r="AW17" s="3" t="s">
        <v>54</v>
      </c>
      <c r="AX17" s="3">
        <v>25</v>
      </c>
      <c r="AY17">
        <v>16000</v>
      </c>
      <c r="AZ17" s="5">
        <v>400000</v>
      </c>
      <c r="BA17" t="s">
        <v>162</v>
      </c>
      <c r="BB17" t="s">
        <v>163</v>
      </c>
      <c r="BC17" s="3" t="s">
        <v>54</v>
      </c>
      <c r="BD17" s="3">
        <v>119.6</v>
      </c>
      <c r="BE17">
        <v>16000</v>
      </c>
      <c r="BF17" s="5">
        <v>1913600</v>
      </c>
      <c r="BG17" s="4" t="s">
        <v>164</v>
      </c>
      <c r="BH17" t="s">
        <v>165</v>
      </c>
      <c r="BI17" s="3"/>
      <c r="BJ17" s="3"/>
      <c r="BL17" s="5"/>
      <c r="BO17" s="3"/>
      <c r="BP17" s="3"/>
      <c r="BR17" s="5"/>
      <c r="BU17" s="3" t="s">
        <v>54</v>
      </c>
      <c r="BV17" s="3">
        <v>25.6</v>
      </c>
      <c r="BW17">
        <v>16000</v>
      </c>
      <c r="BX17" s="5">
        <v>409600</v>
      </c>
      <c r="BY17" s="4" t="s">
        <v>166</v>
      </c>
      <c r="BZ17" t="s">
        <v>146</v>
      </c>
      <c r="CA17" s="3"/>
      <c r="CB17" s="3"/>
      <c r="CD17" s="5"/>
      <c r="CG17" s="3" t="s">
        <v>54</v>
      </c>
      <c r="CH17" s="3">
        <v>52</v>
      </c>
      <c r="CI17">
        <v>16000</v>
      </c>
      <c r="CJ17" s="5">
        <v>832000</v>
      </c>
      <c r="CK17" t="s">
        <v>167</v>
      </c>
      <c r="CL17" t="s">
        <v>136</v>
      </c>
      <c r="CM17" s="3" t="s">
        <v>54</v>
      </c>
      <c r="CN17" s="3">
        <v>50</v>
      </c>
      <c r="CO17">
        <v>16000</v>
      </c>
      <c r="CP17" s="5">
        <v>800000</v>
      </c>
      <c r="CQ17" s="4" t="s">
        <v>168</v>
      </c>
      <c r="CR17" t="s">
        <v>169</v>
      </c>
      <c r="CS17" s="3" t="s">
        <v>54</v>
      </c>
      <c r="CT17" s="3">
        <v>76.900000000000006</v>
      </c>
      <c r="CU17">
        <v>16000</v>
      </c>
      <c r="CV17" s="5">
        <v>1230400</v>
      </c>
      <c r="CW17" t="s">
        <v>151</v>
      </c>
      <c r="CX17" t="s">
        <v>152</v>
      </c>
      <c r="CY17" s="3"/>
      <c r="CZ17" s="3"/>
      <c r="DB17" s="5"/>
      <c r="DE17" s="3"/>
      <c r="DF17" s="3"/>
      <c r="DH17" s="5"/>
      <c r="DK17" s="3"/>
      <c r="DL17" s="3"/>
      <c r="DN17" s="5"/>
      <c r="DQ17" s="3"/>
      <c r="DR17" s="3"/>
      <c r="DT17" s="5"/>
      <c r="DW17" s="3"/>
      <c r="DX17" s="3"/>
      <c r="DZ17" s="5"/>
      <c r="EC17" s="3"/>
      <c r="ED17" s="3"/>
      <c r="EF17" s="5"/>
      <c r="EI17" s="3"/>
      <c r="EJ17" s="3"/>
      <c r="EL17" s="5"/>
      <c r="EO17" s="3"/>
      <c r="EP17" s="3"/>
      <c r="ER17" s="5"/>
      <c r="EU17" s="3"/>
      <c r="EV17" s="3"/>
      <c r="EX17" s="5"/>
      <c r="FA17" s="3"/>
      <c r="FB17" s="3"/>
      <c r="FD17" s="5"/>
      <c r="FG17" s="3"/>
      <c r="FH17" s="3"/>
      <c r="FJ17" s="5"/>
      <c r="FM17" s="3"/>
      <c r="FN17" s="3"/>
      <c r="FP17" s="5"/>
    </row>
    <row r="18" spans="1:172" ht="28.8" x14ac:dyDescent="0.3">
      <c r="A18" t="s">
        <v>170</v>
      </c>
      <c r="B18" t="s">
        <v>50</v>
      </c>
      <c r="C18" t="s">
        <v>171</v>
      </c>
      <c r="D18" s="4" t="s">
        <v>172</v>
      </c>
      <c r="E18">
        <v>16000</v>
      </c>
      <c r="F18" t="s">
        <v>53</v>
      </c>
      <c r="G18" s="3"/>
      <c r="H18" s="3"/>
      <c r="J18" s="5"/>
      <c r="M18" s="3" t="s">
        <v>54</v>
      </c>
      <c r="N18" s="3">
        <v>14.9</v>
      </c>
      <c r="O18">
        <v>16000</v>
      </c>
      <c r="P18" s="5">
        <v>238400</v>
      </c>
      <c r="Q18" t="s">
        <v>173</v>
      </c>
      <c r="R18" t="s">
        <v>174</v>
      </c>
      <c r="S18" s="3" t="s">
        <v>54</v>
      </c>
      <c r="T18" s="3">
        <v>54.5</v>
      </c>
      <c r="U18">
        <v>16000</v>
      </c>
      <c r="V18" s="5">
        <v>872000</v>
      </c>
      <c r="W18" s="4" t="s">
        <v>175</v>
      </c>
      <c r="X18" t="s">
        <v>176</v>
      </c>
      <c r="Y18" s="3"/>
      <c r="Z18" s="3"/>
      <c r="AB18" s="5"/>
      <c r="AE18" s="3"/>
      <c r="AF18" s="3"/>
      <c r="AH18" s="5"/>
      <c r="AK18" s="3"/>
      <c r="AL18" s="3"/>
      <c r="AN18" s="5"/>
      <c r="AQ18" s="3" t="s">
        <v>54</v>
      </c>
      <c r="AR18" s="3">
        <v>14.27</v>
      </c>
      <c r="AS18">
        <v>16000</v>
      </c>
      <c r="AT18" s="5">
        <v>228320</v>
      </c>
      <c r="AU18" s="4" t="s">
        <v>177</v>
      </c>
      <c r="AV18" t="s">
        <v>178</v>
      </c>
      <c r="AW18" s="3" t="s">
        <v>54</v>
      </c>
      <c r="AX18" s="3">
        <v>37</v>
      </c>
      <c r="AY18">
        <v>16000</v>
      </c>
      <c r="AZ18" s="5">
        <v>592000</v>
      </c>
      <c r="BA18" t="s">
        <v>179</v>
      </c>
      <c r="BB18" t="s">
        <v>180</v>
      </c>
      <c r="BC18" s="3" t="s">
        <v>54</v>
      </c>
      <c r="BD18" s="3">
        <v>106</v>
      </c>
      <c r="BE18">
        <v>16000</v>
      </c>
      <c r="BF18" s="5">
        <v>1696000</v>
      </c>
      <c r="BG18" s="4" t="s">
        <v>181</v>
      </c>
      <c r="BH18" t="s">
        <v>182</v>
      </c>
      <c r="BI18" s="3"/>
      <c r="BJ18" s="3"/>
      <c r="BL18" s="5"/>
      <c r="BO18" s="3"/>
      <c r="BP18" s="3"/>
      <c r="BR18" s="5"/>
      <c r="BU18" s="3" t="s">
        <v>54</v>
      </c>
      <c r="BV18" s="3">
        <v>51.51</v>
      </c>
      <c r="BW18">
        <v>16000</v>
      </c>
      <c r="BX18" s="5">
        <v>824160</v>
      </c>
      <c r="BY18" s="4" t="s">
        <v>183</v>
      </c>
      <c r="BZ18" t="s">
        <v>184</v>
      </c>
      <c r="CA18" s="3" t="s">
        <v>54</v>
      </c>
      <c r="CB18" s="3">
        <v>20.58</v>
      </c>
      <c r="CC18">
        <v>16000</v>
      </c>
      <c r="CD18" s="5">
        <v>329280</v>
      </c>
      <c r="CE18" s="4" t="s">
        <v>185</v>
      </c>
      <c r="CF18" t="s">
        <v>186</v>
      </c>
      <c r="CG18" s="3" t="s">
        <v>54</v>
      </c>
      <c r="CH18" s="3">
        <v>31.71</v>
      </c>
      <c r="CI18">
        <v>16000</v>
      </c>
      <c r="CJ18" s="5">
        <v>507360</v>
      </c>
      <c r="CK18" t="s">
        <v>187</v>
      </c>
      <c r="CL18" t="s">
        <v>188</v>
      </c>
      <c r="CM18" s="3" t="s">
        <v>54</v>
      </c>
      <c r="CN18" s="3">
        <v>68.8</v>
      </c>
      <c r="CO18">
        <v>16000</v>
      </c>
      <c r="CP18" s="5">
        <v>1100800</v>
      </c>
      <c r="CQ18" s="4" t="s">
        <v>189</v>
      </c>
      <c r="CR18" t="s">
        <v>190</v>
      </c>
      <c r="CS18" s="3" t="s">
        <v>54</v>
      </c>
      <c r="CT18" s="3">
        <v>83</v>
      </c>
      <c r="CU18">
        <v>16000</v>
      </c>
      <c r="CV18" s="5">
        <v>1328000</v>
      </c>
      <c r="CW18" t="s">
        <v>151</v>
      </c>
      <c r="CX18" t="s">
        <v>191</v>
      </c>
      <c r="CY18" s="3"/>
      <c r="CZ18" s="3"/>
      <c r="DB18" s="5"/>
      <c r="DE18" s="3"/>
      <c r="DF18" s="3"/>
      <c r="DH18" s="5"/>
      <c r="DK18" s="3"/>
      <c r="DL18" s="3"/>
      <c r="DN18" s="5"/>
      <c r="DQ18" s="3"/>
      <c r="DR18" s="3"/>
      <c r="DT18" s="5"/>
      <c r="DW18" s="3"/>
      <c r="DX18" s="3"/>
      <c r="DZ18" s="5"/>
      <c r="EC18" s="3"/>
      <c r="ED18" s="3"/>
      <c r="EF18" s="5"/>
      <c r="EI18" s="3"/>
      <c r="EJ18" s="3"/>
      <c r="EL18" s="5"/>
      <c r="EO18" s="3"/>
      <c r="EP18" s="3"/>
      <c r="ER18" s="5"/>
      <c r="EU18" s="3"/>
      <c r="EV18" s="3"/>
      <c r="EX18" s="5"/>
      <c r="FA18" s="3"/>
      <c r="FB18" s="3"/>
      <c r="FD18" s="5"/>
      <c r="FG18" s="3"/>
      <c r="FH18" s="3"/>
      <c r="FJ18" s="5"/>
      <c r="FM18" s="3"/>
      <c r="FN18" s="3"/>
      <c r="FP18" s="5"/>
    </row>
    <row r="19" spans="1:172" ht="100.8" x14ac:dyDescent="0.3">
      <c r="A19" t="s">
        <v>192</v>
      </c>
      <c r="B19" t="s">
        <v>50</v>
      </c>
      <c r="C19" t="s">
        <v>193</v>
      </c>
      <c r="D19" s="4" t="s">
        <v>194</v>
      </c>
      <c r="E19">
        <v>3000</v>
      </c>
      <c r="F19" t="s">
        <v>66</v>
      </c>
      <c r="G19" s="3"/>
      <c r="H19" s="3"/>
      <c r="J19" s="5"/>
      <c r="M19" s="3"/>
      <c r="N19" s="3"/>
      <c r="P19" s="5"/>
      <c r="S19" s="3"/>
      <c r="T19" s="3"/>
      <c r="V19" s="5"/>
      <c r="Y19" s="3" t="s">
        <v>54</v>
      </c>
      <c r="Z19" s="3">
        <v>1579.1</v>
      </c>
      <c r="AA19">
        <v>2000</v>
      </c>
      <c r="AB19" s="5">
        <v>3158200</v>
      </c>
      <c r="AC19" s="4" t="s">
        <v>195</v>
      </c>
      <c r="AD19" t="s">
        <v>196</v>
      </c>
      <c r="AE19" s="3"/>
      <c r="AF19" s="3"/>
      <c r="AH19" s="5"/>
      <c r="AK19" s="3"/>
      <c r="AL19" s="3"/>
      <c r="AN19" s="5"/>
      <c r="AQ19" s="3"/>
      <c r="AR19" s="3"/>
      <c r="AT19" s="5"/>
      <c r="AW19" s="3"/>
      <c r="AX19" s="3"/>
      <c r="AZ19" s="5"/>
      <c r="BC19" s="3"/>
      <c r="BD19" s="3"/>
      <c r="BF19" s="5"/>
      <c r="BI19" s="3"/>
      <c r="BJ19" s="3"/>
      <c r="BL19" s="5"/>
      <c r="BO19" s="3"/>
      <c r="BP19" s="3"/>
      <c r="BR19" s="5"/>
      <c r="BU19" s="3"/>
      <c r="BV19" s="3"/>
      <c r="BX19" s="5"/>
      <c r="CA19" s="3"/>
      <c r="CB19" s="3"/>
      <c r="CD19" s="5"/>
      <c r="CG19" s="3"/>
      <c r="CH19" s="3"/>
      <c r="CJ19" s="5"/>
      <c r="CM19" s="3"/>
      <c r="CN19" s="3"/>
      <c r="CP19" s="5"/>
      <c r="CS19" s="3"/>
      <c r="CT19" s="3"/>
      <c r="CV19" s="5"/>
      <c r="CY19" s="3" t="s">
        <v>54</v>
      </c>
      <c r="CZ19" s="3">
        <v>2380</v>
      </c>
      <c r="DA19">
        <v>3000</v>
      </c>
      <c r="DB19" s="5">
        <v>7140000</v>
      </c>
      <c r="DC19" s="4" t="s">
        <v>197</v>
      </c>
      <c r="DD19" t="s">
        <v>198</v>
      </c>
      <c r="DE19" s="3"/>
      <c r="DF19" s="3"/>
      <c r="DH19" s="5"/>
      <c r="DK19" s="3"/>
      <c r="DL19" s="3"/>
      <c r="DN19" s="5"/>
      <c r="DQ19" s="3"/>
      <c r="DR19" s="3"/>
      <c r="DT19" s="5"/>
      <c r="DW19" s="3"/>
      <c r="DX19" s="3"/>
      <c r="DZ19" s="5"/>
      <c r="EC19" s="3"/>
      <c r="ED19" s="3"/>
      <c r="EF19" s="5"/>
      <c r="EI19" s="3"/>
      <c r="EJ19" s="3"/>
      <c r="EL19" s="5"/>
      <c r="EO19" s="3"/>
      <c r="EP19" s="3"/>
      <c r="ER19" s="5"/>
      <c r="EU19" s="3"/>
      <c r="EV19" s="3"/>
      <c r="EX19" s="5"/>
      <c r="FA19" s="3"/>
      <c r="FB19" s="3"/>
      <c r="FD19" s="5"/>
      <c r="FG19" s="3"/>
      <c r="FH19" s="3"/>
      <c r="FJ19" s="5"/>
      <c r="FM19" s="3"/>
      <c r="FN19" s="3"/>
      <c r="FP19" s="5"/>
    </row>
    <row r="20" spans="1:172" ht="43.2" x14ac:dyDescent="0.3">
      <c r="A20" t="s">
        <v>199</v>
      </c>
      <c r="B20" t="s">
        <v>50</v>
      </c>
      <c r="C20" t="s">
        <v>200</v>
      </c>
      <c r="D20" s="4" t="s">
        <v>201</v>
      </c>
      <c r="E20">
        <v>15000</v>
      </c>
      <c r="F20" t="s">
        <v>53</v>
      </c>
      <c r="G20" s="3"/>
      <c r="H20" s="3"/>
      <c r="J20" s="5"/>
      <c r="M20" s="3"/>
      <c r="N20" s="3"/>
      <c r="P20" s="5"/>
      <c r="S20" s="3"/>
      <c r="T20" s="3"/>
      <c r="V20" s="5"/>
      <c r="Y20" s="3" t="s">
        <v>54</v>
      </c>
      <c r="Z20" s="3">
        <v>13.98</v>
      </c>
      <c r="AA20">
        <v>15000</v>
      </c>
      <c r="AB20" s="5">
        <v>209700</v>
      </c>
      <c r="AC20" s="4" t="s">
        <v>202</v>
      </c>
      <c r="AD20" t="s">
        <v>203</v>
      </c>
      <c r="AE20" s="3"/>
      <c r="AF20" s="3"/>
      <c r="AH20" s="5"/>
      <c r="AK20" s="3"/>
      <c r="AL20" s="3"/>
      <c r="AN20" s="5"/>
      <c r="AQ20" s="3"/>
      <c r="AR20" s="3"/>
      <c r="AT20" s="5"/>
      <c r="AW20" s="3"/>
      <c r="AX20" s="3"/>
      <c r="AZ20" s="5"/>
      <c r="BC20" s="3" t="s">
        <v>54</v>
      </c>
      <c r="BD20" s="3">
        <v>189</v>
      </c>
      <c r="BE20">
        <v>15000</v>
      </c>
      <c r="BF20" s="5">
        <v>2835000</v>
      </c>
      <c r="BG20" s="4" t="s">
        <v>204</v>
      </c>
      <c r="BH20" t="s">
        <v>205</v>
      </c>
      <c r="BI20" s="3" t="s">
        <v>54</v>
      </c>
      <c r="BJ20" s="3">
        <v>19.18</v>
      </c>
      <c r="BK20">
        <v>15000</v>
      </c>
      <c r="BL20" s="5">
        <v>287700</v>
      </c>
      <c r="BM20" s="4" t="s">
        <v>206</v>
      </c>
      <c r="BN20" t="s">
        <v>207</v>
      </c>
      <c r="BO20" s="3"/>
      <c r="BP20" s="3"/>
      <c r="BR20" s="5"/>
      <c r="BU20" s="3" t="s">
        <v>54</v>
      </c>
      <c r="BV20" s="3">
        <v>26.8</v>
      </c>
      <c r="BW20">
        <v>15000</v>
      </c>
      <c r="BX20" s="5">
        <v>402000</v>
      </c>
      <c r="BY20" s="4" t="s">
        <v>208</v>
      </c>
      <c r="BZ20" t="s">
        <v>209</v>
      </c>
      <c r="CA20" s="3"/>
      <c r="CB20" s="3"/>
      <c r="CD20" s="5"/>
      <c r="CG20" s="3" t="s">
        <v>54</v>
      </c>
      <c r="CH20" s="3">
        <v>48.4</v>
      </c>
      <c r="CI20">
        <v>15000</v>
      </c>
      <c r="CJ20" s="5">
        <v>726000</v>
      </c>
      <c r="CK20" t="s">
        <v>210</v>
      </c>
      <c r="CL20" t="s">
        <v>211</v>
      </c>
      <c r="CM20" s="3" t="s">
        <v>54</v>
      </c>
      <c r="CN20" s="3">
        <v>32.6</v>
      </c>
      <c r="CO20">
        <v>15000</v>
      </c>
      <c r="CP20" s="5">
        <v>489000</v>
      </c>
      <c r="CQ20" s="4" t="s">
        <v>212</v>
      </c>
      <c r="CR20" t="s">
        <v>213</v>
      </c>
      <c r="CS20" s="3"/>
      <c r="CT20" s="3"/>
      <c r="CV20" s="5"/>
      <c r="CY20" s="3"/>
      <c r="CZ20" s="3"/>
      <c r="DB20" s="5"/>
      <c r="DE20" s="3"/>
      <c r="DF20" s="3"/>
      <c r="DH20" s="5"/>
      <c r="DK20" s="3"/>
      <c r="DL20" s="3"/>
      <c r="DN20" s="5"/>
      <c r="DQ20" s="3"/>
      <c r="DR20" s="3"/>
      <c r="DT20" s="5"/>
      <c r="DW20" s="3"/>
      <c r="DX20" s="3"/>
      <c r="DZ20" s="5"/>
      <c r="EC20" s="3"/>
      <c r="ED20" s="3"/>
      <c r="EF20" s="5"/>
      <c r="EI20" s="3"/>
      <c r="EJ20" s="3"/>
      <c r="EL20" s="5"/>
      <c r="EO20" s="3"/>
      <c r="EP20" s="3"/>
      <c r="ER20" s="5"/>
      <c r="EU20" s="3"/>
      <c r="EV20" s="3"/>
      <c r="EX20" s="5"/>
      <c r="FA20" s="3"/>
      <c r="FB20" s="3"/>
      <c r="FD20" s="5"/>
      <c r="FG20" s="3"/>
      <c r="FH20" s="3"/>
      <c r="FJ20" s="5"/>
      <c r="FM20" s="3"/>
      <c r="FN20" s="3"/>
      <c r="FP20" s="5"/>
    </row>
    <row r="21" spans="1:172" ht="115.2" x14ac:dyDescent="0.3">
      <c r="A21" t="s">
        <v>214</v>
      </c>
      <c r="B21" t="s">
        <v>50</v>
      </c>
      <c r="C21" t="s">
        <v>215</v>
      </c>
      <c r="D21" s="4" t="s">
        <v>216</v>
      </c>
      <c r="E21">
        <v>800</v>
      </c>
      <c r="F21" t="s">
        <v>66</v>
      </c>
      <c r="G21" s="3"/>
      <c r="H21" s="3"/>
      <c r="J21" s="5"/>
      <c r="M21" s="3"/>
      <c r="N21" s="3"/>
      <c r="P21" s="5"/>
      <c r="S21" s="3"/>
      <c r="T21" s="3"/>
      <c r="V21" s="5"/>
      <c r="Y21" s="3" t="s">
        <v>54</v>
      </c>
      <c r="Z21" s="3">
        <v>13546.7</v>
      </c>
      <c r="AA21">
        <v>500</v>
      </c>
      <c r="AB21" s="5">
        <v>6773350</v>
      </c>
      <c r="AC21" s="4" t="s">
        <v>217</v>
      </c>
      <c r="AD21" t="s">
        <v>218</v>
      </c>
      <c r="AE21" s="3"/>
      <c r="AF21" s="3"/>
      <c r="AH21" s="5"/>
      <c r="AK21" s="3"/>
      <c r="AL21" s="3"/>
      <c r="AN21" s="5"/>
      <c r="AQ21" s="3"/>
      <c r="AR21" s="3"/>
      <c r="AT21" s="5"/>
      <c r="AW21" s="3"/>
      <c r="AX21" s="3"/>
      <c r="AZ21" s="5"/>
      <c r="BC21" s="3"/>
      <c r="BD21" s="3"/>
      <c r="BF21" s="5"/>
      <c r="BI21" s="3"/>
      <c r="BJ21" s="3"/>
      <c r="BL21" s="5"/>
      <c r="BO21" s="3"/>
      <c r="BP21" s="3"/>
      <c r="BR21" s="5"/>
      <c r="BU21" s="3"/>
      <c r="BV21" s="3"/>
      <c r="BX21" s="5"/>
      <c r="CA21" s="3"/>
      <c r="CB21" s="3"/>
      <c r="CD21" s="5"/>
      <c r="CG21" s="3"/>
      <c r="CH21" s="3"/>
      <c r="CJ21" s="5"/>
      <c r="CM21" s="3"/>
      <c r="CN21" s="3"/>
      <c r="CP21" s="5"/>
      <c r="CS21" s="3"/>
      <c r="CT21" s="3"/>
      <c r="CV21" s="5"/>
      <c r="CY21" s="3" t="s">
        <v>54</v>
      </c>
      <c r="CZ21" s="3">
        <v>28100</v>
      </c>
      <c r="DA21">
        <v>800</v>
      </c>
      <c r="DB21" s="5">
        <v>22480000</v>
      </c>
      <c r="DC21" s="4" t="s">
        <v>219</v>
      </c>
      <c r="DD21" t="s">
        <v>220</v>
      </c>
      <c r="DE21" s="3"/>
      <c r="DF21" s="3"/>
      <c r="DH21" s="5"/>
      <c r="DK21" s="3"/>
      <c r="DL21" s="3"/>
      <c r="DN21" s="5"/>
      <c r="DQ21" s="3"/>
      <c r="DR21" s="3"/>
      <c r="DT21" s="5"/>
      <c r="DW21" s="3"/>
      <c r="DX21" s="3"/>
      <c r="DZ21" s="5"/>
      <c r="EC21" s="3"/>
      <c r="ED21" s="3"/>
      <c r="EF21" s="5"/>
      <c r="EI21" s="3"/>
      <c r="EJ21" s="3"/>
      <c r="EL21" s="5"/>
      <c r="EO21" s="3"/>
      <c r="EP21" s="3"/>
      <c r="ER21" s="5"/>
      <c r="EU21" s="3"/>
      <c r="EV21" s="3"/>
      <c r="EX21" s="5"/>
      <c r="FA21" s="3"/>
      <c r="FB21" s="3"/>
      <c r="FD21" s="5"/>
      <c r="FG21" s="3"/>
      <c r="FH21" s="3"/>
      <c r="FJ21" s="5"/>
      <c r="FM21" s="3"/>
      <c r="FN21" s="3"/>
      <c r="FP21" s="5"/>
    </row>
    <row r="22" spans="1:172" ht="57.6" x14ac:dyDescent="0.3">
      <c r="A22" t="s">
        <v>221</v>
      </c>
      <c r="B22" t="s">
        <v>50</v>
      </c>
      <c r="C22" t="s">
        <v>222</v>
      </c>
      <c r="D22" s="4" t="s">
        <v>223</v>
      </c>
      <c r="E22">
        <v>400</v>
      </c>
      <c r="F22" t="s">
        <v>53</v>
      </c>
      <c r="G22" s="3"/>
      <c r="H22" s="3"/>
      <c r="J22" s="5"/>
      <c r="M22" s="3"/>
      <c r="N22" s="3"/>
      <c r="P22" s="5"/>
      <c r="S22" s="3"/>
      <c r="T22" s="3"/>
      <c r="V22" s="5"/>
      <c r="Y22" s="3"/>
      <c r="Z22" s="3"/>
      <c r="AB22" s="5"/>
      <c r="AE22" s="3"/>
      <c r="AF22" s="3"/>
      <c r="AH22" s="5"/>
      <c r="AK22" s="3"/>
      <c r="AL22" s="3"/>
      <c r="AN22" s="5"/>
      <c r="AQ22" s="3"/>
      <c r="AR22" s="3"/>
      <c r="AT22" s="5"/>
      <c r="AW22" s="3"/>
      <c r="AX22" s="3"/>
      <c r="AZ22" s="5"/>
      <c r="BC22" s="3"/>
      <c r="BD22" s="3"/>
      <c r="BF22" s="5"/>
      <c r="BI22" s="3"/>
      <c r="BJ22" s="3"/>
      <c r="BL22" s="5"/>
      <c r="BO22" s="3"/>
      <c r="BP22" s="3"/>
      <c r="BR22" s="5"/>
      <c r="BU22" s="3"/>
      <c r="BV22" s="3"/>
      <c r="BX22" s="5"/>
      <c r="CA22" s="3"/>
      <c r="CB22" s="3"/>
      <c r="CD22" s="5"/>
      <c r="CG22" s="3"/>
      <c r="CH22" s="3"/>
      <c r="CJ22" s="5"/>
      <c r="CM22" s="3"/>
      <c r="CN22" s="3"/>
      <c r="CP22" s="5"/>
      <c r="CS22" s="3"/>
      <c r="CT22" s="3"/>
      <c r="CV22" s="5"/>
      <c r="CY22" s="3" t="s">
        <v>54</v>
      </c>
      <c r="CZ22" s="3">
        <v>34400</v>
      </c>
      <c r="DA22">
        <v>400</v>
      </c>
      <c r="DB22" s="5">
        <v>13760000</v>
      </c>
      <c r="DC22" s="4" t="s">
        <v>224</v>
      </c>
      <c r="DD22" t="s">
        <v>225</v>
      </c>
      <c r="DE22" s="3"/>
      <c r="DF22" s="3"/>
      <c r="DH22" s="5"/>
      <c r="DK22" s="3"/>
      <c r="DL22" s="3"/>
      <c r="DN22" s="5"/>
      <c r="DQ22" s="3"/>
      <c r="DR22" s="3"/>
      <c r="DT22" s="5"/>
      <c r="DW22" s="3"/>
      <c r="DX22" s="3"/>
      <c r="DZ22" s="5"/>
      <c r="EC22" s="3"/>
      <c r="ED22" s="3"/>
      <c r="EF22" s="5"/>
      <c r="EI22" s="3"/>
      <c r="EJ22" s="3"/>
      <c r="EL22" s="5"/>
      <c r="EO22" s="3"/>
      <c r="EP22" s="3"/>
      <c r="ER22" s="5"/>
      <c r="EU22" s="3"/>
      <c r="EV22" s="3"/>
      <c r="EX22" s="5"/>
      <c r="FA22" s="3"/>
      <c r="FB22" s="3"/>
      <c r="FD22" s="5"/>
      <c r="FG22" s="3"/>
      <c r="FH22" s="3"/>
      <c r="FJ22" s="5"/>
      <c r="FM22" s="3"/>
      <c r="FN22" s="3"/>
      <c r="FP22" s="5"/>
    </row>
    <row r="23" spans="1:172" ht="57.6" x14ac:dyDescent="0.3">
      <c r="A23" t="s">
        <v>226</v>
      </c>
      <c r="B23" t="s">
        <v>50</v>
      </c>
      <c r="C23" t="s">
        <v>227</v>
      </c>
      <c r="D23" s="4" t="s">
        <v>228</v>
      </c>
      <c r="E23">
        <v>140</v>
      </c>
      <c r="F23" t="s">
        <v>53</v>
      </c>
      <c r="G23" s="3"/>
      <c r="H23" s="3"/>
      <c r="J23" s="5"/>
      <c r="M23" s="3"/>
      <c r="N23" s="3"/>
      <c r="P23" s="5"/>
      <c r="S23" s="3"/>
      <c r="T23" s="3"/>
      <c r="V23" s="5"/>
      <c r="Y23" s="3"/>
      <c r="Z23" s="3"/>
      <c r="AB23" s="5"/>
      <c r="AE23" s="3"/>
      <c r="AF23" s="3"/>
      <c r="AH23" s="5"/>
      <c r="AK23" s="3"/>
      <c r="AL23" s="3"/>
      <c r="AN23" s="5"/>
      <c r="AQ23" s="3"/>
      <c r="AR23" s="3"/>
      <c r="AT23" s="5"/>
      <c r="AW23" s="3"/>
      <c r="AX23" s="3"/>
      <c r="AZ23" s="5"/>
      <c r="BC23" s="3"/>
      <c r="BD23" s="3"/>
      <c r="BF23" s="5"/>
      <c r="BI23" s="3"/>
      <c r="BJ23" s="3"/>
      <c r="BL23" s="5"/>
      <c r="BO23" s="3"/>
      <c r="BP23" s="3"/>
      <c r="BR23" s="5"/>
      <c r="BU23" s="3"/>
      <c r="BV23" s="3"/>
      <c r="BX23" s="5"/>
      <c r="CA23" s="3" t="s">
        <v>54</v>
      </c>
      <c r="CB23" s="3">
        <v>36042.04</v>
      </c>
      <c r="CC23">
        <v>140</v>
      </c>
      <c r="CD23" s="5">
        <v>5045885.5999999996</v>
      </c>
      <c r="CE23" s="4" t="s">
        <v>229</v>
      </c>
      <c r="CF23" t="s">
        <v>230</v>
      </c>
      <c r="CG23" s="3"/>
      <c r="CH23" s="3"/>
      <c r="CJ23" s="5"/>
      <c r="CM23" s="3"/>
      <c r="CN23" s="3"/>
      <c r="CP23" s="5"/>
      <c r="CS23" s="3"/>
      <c r="CT23" s="3"/>
      <c r="CV23" s="5"/>
      <c r="CY23" s="3"/>
      <c r="CZ23" s="3"/>
      <c r="DB23" s="5"/>
      <c r="DE23" s="3" t="s">
        <v>54</v>
      </c>
      <c r="DF23" s="3">
        <v>38980</v>
      </c>
      <c r="DG23">
        <v>140</v>
      </c>
      <c r="DH23" s="5">
        <v>5457200</v>
      </c>
      <c r="DI23" s="4" t="s">
        <v>231</v>
      </c>
      <c r="DJ23" t="s">
        <v>232</v>
      </c>
      <c r="DK23" s="3"/>
      <c r="DL23" s="3"/>
      <c r="DN23" s="5"/>
      <c r="DQ23" s="3"/>
      <c r="DR23" s="3"/>
      <c r="DT23" s="5"/>
      <c r="DW23" s="3"/>
      <c r="DX23" s="3"/>
      <c r="DZ23" s="5"/>
      <c r="EC23" s="3"/>
      <c r="ED23" s="3"/>
      <c r="EF23" s="5"/>
      <c r="EI23" s="3"/>
      <c r="EJ23" s="3"/>
      <c r="EL23" s="5"/>
      <c r="EO23" s="3"/>
      <c r="EP23" s="3"/>
      <c r="ER23" s="5"/>
      <c r="EU23" s="3"/>
      <c r="EV23" s="3"/>
      <c r="EX23" s="5"/>
      <c r="FA23" s="3"/>
      <c r="FB23" s="3"/>
      <c r="FD23" s="5"/>
      <c r="FG23" s="3"/>
      <c r="FH23" s="3"/>
      <c r="FJ23" s="5"/>
      <c r="FM23" s="3"/>
      <c r="FN23" s="3"/>
      <c r="FP23" s="5"/>
    </row>
    <row r="24" spans="1:172" ht="57.6" x14ac:dyDescent="0.3">
      <c r="A24" t="s">
        <v>226</v>
      </c>
      <c r="B24" t="s">
        <v>63</v>
      </c>
      <c r="C24" t="s">
        <v>227</v>
      </c>
      <c r="D24" s="4" t="s">
        <v>228</v>
      </c>
      <c r="E24">
        <v>140</v>
      </c>
      <c r="F24" t="s">
        <v>53</v>
      </c>
      <c r="G24" s="3"/>
      <c r="H24" s="3"/>
      <c r="J24" s="5"/>
      <c r="M24" s="3"/>
      <c r="N24" s="3"/>
      <c r="P24" s="5"/>
      <c r="S24" s="3"/>
      <c r="T24" s="3"/>
      <c r="V24" s="5"/>
      <c r="Y24" s="3"/>
      <c r="Z24" s="3"/>
      <c r="AB24" s="5"/>
      <c r="AE24" s="3"/>
      <c r="AF24" s="3"/>
      <c r="AH24" s="5"/>
      <c r="AK24" s="3"/>
      <c r="AL24" s="3"/>
      <c r="AN24" s="5"/>
      <c r="AQ24" s="3"/>
      <c r="AR24" s="3"/>
      <c r="AT24" s="5"/>
      <c r="AW24" s="3"/>
      <c r="AX24" s="3"/>
      <c r="AZ24" s="5"/>
      <c r="BC24" s="3"/>
      <c r="BD24" s="3"/>
      <c r="BF24" s="5"/>
      <c r="BI24" s="3"/>
      <c r="BJ24" s="3"/>
      <c r="BL24" s="5"/>
      <c r="BO24" s="3"/>
      <c r="BP24" s="3"/>
      <c r="BR24" s="5"/>
      <c r="BU24" s="3"/>
      <c r="BV24" s="3"/>
      <c r="BX24" s="5"/>
      <c r="CA24" s="3"/>
      <c r="CB24" s="3"/>
      <c r="CD24" s="5"/>
      <c r="CG24" s="3"/>
      <c r="CH24" s="3"/>
      <c r="CJ24" s="5"/>
      <c r="CM24" s="3"/>
      <c r="CN24" s="3"/>
      <c r="CP24" s="5"/>
      <c r="CS24" s="3"/>
      <c r="CT24" s="3"/>
      <c r="CV24" s="5"/>
      <c r="CY24" s="3"/>
      <c r="CZ24" s="3"/>
      <c r="DB24" s="5"/>
      <c r="DE24" s="3" t="s">
        <v>54</v>
      </c>
      <c r="DF24" s="3">
        <v>40182</v>
      </c>
      <c r="DG24">
        <v>140</v>
      </c>
      <c r="DH24" s="5">
        <v>5625480</v>
      </c>
      <c r="DI24" s="4" t="s">
        <v>233</v>
      </c>
      <c r="DJ24" t="s">
        <v>234</v>
      </c>
      <c r="DK24" s="3"/>
      <c r="DL24" s="3"/>
      <c r="DN24" s="5"/>
      <c r="DQ24" s="3"/>
      <c r="DR24" s="3"/>
      <c r="DT24" s="5"/>
      <c r="DW24" s="3"/>
      <c r="DX24" s="3"/>
      <c r="DZ24" s="5"/>
      <c r="EC24" s="3"/>
      <c r="ED24" s="3"/>
      <c r="EF24" s="5"/>
      <c r="EI24" s="3"/>
      <c r="EJ24" s="3"/>
      <c r="EL24" s="5"/>
      <c r="EO24" s="3"/>
      <c r="EP24" s="3"/>
      <c r="ER24" s="5"/>
      <c r="EU24" s="3"/>
      <c r="EV24" s="3"/>
      <c r="EX24" s="5"/>
      <c r="FA24" s="3"/>
      <c r="FB24" s="3"/>
      <c r="FD24" s="5"/>
      <c r="FG24" s="3"/>
      <c r="FH24" s="3"/>
      <c r="FJ24" s="5"/>
      <c r="FM24" s="3"/>
      <c r="FN24" s="3"/>
      <c r="FP24" s="5"/>
    </row>
    <row r="25" spans="1:172" ht="72" x14ac:dyDescent="0.3">
      <c r="A25" t="s">
        <v>235</v>
      </c>
      <c r="B25" t="s">
        <v>50</v>
      </c>
      <c r="C25" t="s">
        <v>236</v>
      </c>
      <c r="D25" s="4" t="s">
        <v>237</v>
      </c>
      <c r="E25">
        <v>140</v>
      </c>
      <c r="F25" t="s">
        <v>53</v>
      </c>
      <c r="G25" s="3"/>
      <c r="H25" s="3"/>
      <c r="J25" s="5"/>
      <c r="M25" s="3"/>
      <c r="N25" s="3"/>
      <c r="P25" s="5"/>
      <c r="S25" s="3"/>
      <c r="T25" s="3"/>
      <c r="V25" s="5"/>
      <c r="Y25" s="3"/>
      <c r="Z25" s="3"/>
      <c r="AB25" s="5"/>
      <c r="AE25" s="3"/>
      <c r="AF25" s="3"/>
      <c r="AH25" s="5"/>
      <c r="AK25" s="3"/>
      <c r="AL25" s="3"/>
      <c r="AN25" s="5"/>
      <c r="AQ25" s="3"/>
      <c r="AR25" s="3"/>
      <c r="AT25" s="5"/>
      <c r="AW25" s="3"/>
      <c r="AX25" s="3"/>
      <c r="AZ25" s="5"/>
      <c r="BC25" s="3"/>
      <c r="BD25" s="3"/>
      <c r="BF25" s="5"/>
      <c r="BI25" s="3"/>
      <c r="BJ25" s="3"/>
      <c r="BL25" s="5"/>
      <c r="BO25" s="3"/>
      <c r="BP25" s="3"/>
      <c r="BR25" s="5"/>
      <c r="BU25" s="3"/>
      <c r="BV25" s="3"/>
      <c r="BX25" s="5"/>
      <c r="CA25" s="3" t="s">
        <v>54</v>
      </c>
      <c r="CB25" s="3">
        <v>33231.120000000003</v>
      </c>
      <c r="CC25">
        <v>140</v>
      </c>
      <c r="CD25" s="5">
        <v>4652356.8</v>
      </c>
      <c r="CE25" s="4" t="s">
        <v>238</v>
      </c>
      <c r="CF25" t="s">
        <v>239</v>
      </c>
      <c r="CG25" s="3"/>
      <c r="CH25" s="3"/>
      <c r="CJ25" s="5"/>
      <c r="CM25" s="3"/>
      <c r="CN25" s="3"/>
      <c r="CP25" s="5"/>
      <c r="CS25" s="3"/>
      <c r="CT25" s="3"/>
      <c r="CV25" s="5"/>
      <c r="CY25" s="3"/>
      <c r="CZ25" s="3"/>
      <c r="DB25" s="5"/>
      <c r="DE25" s="3" t="s">
        <v>54</v>
      </c>
      <c r="DF25" s="3">
        <v>38980</v>
      </c>
      <c r="DG25">
        <v>140</v>
      </c>
      <c r="DH25" s="5">
        <v>5457200</v>
      </c>
      <c r="DI25" s="4" t="s">
        <v>240</v>
      </c>
      <c r="DJ25" t="s">
        <v>232</v>
      </c>
      <c r="DK25" s="3"/>
      <c r="DL25" s="3"/>
      <c r="DN25" s="5"/>
      <c r="DQ25" s="3"/>
      <c r="DR25" s="3"/>
      <c r="DT25" s="5"/>
      <c r="DW25" s="3"/>
      <c r="DX25" s="3"/>
      <c r="DZ25" s="5"/>
      <c r="EC25" s="3"/>
      <c r="ED25" s="3"/>
      <c r="EF25" s="5"/>
      <c r="EI25" s="3"/>
      <c r="EJ25" s="3"/>
      <c r="EL25" s="5"/>
      <c r="EO25" s="3"/>
      <c r="EP25" s="3"/>
      <c r="ER25" s="5"/>
      <c r="EU25" s="3"/>
      <c r="EV25" s="3"/>
      <c r="EX25" s="5"/>
      <c r="FA25" s="3"/>
      <c r="FB25" s="3"/>
      <c r="FD25" s="5"/>
      <c r="FG25" s="3"/>
      <c r="FH25" s="3"/>
      <c r="FJ25" s="5"/>
      <c r="FM25" s="3"/>
      <c r="FN25" s="3"/>
      <c r="FP25" s="5"/>
    </row>
    <row r="26" spans="1:172" ht="187.2" x14ac:dyDescent="0.3">
      <c r="A26" t="s">
        <v>241</v>
      </c>
      <c r="B26" t="s">
        <v>50</v>
      </c>
      <c r="C26" t="s">
        <v>242</v>
      </c>
      <c r="D26" s="4" t="s">
        <v>243</v>
      </c>
      <c r="E26">
        <v>1200</v>
      </c>
      <c r="F26" t="s">
        <v>53</v>
      </c>
      <c r="G26" s="3"/>
      <c r="H26" s="3"/>
      <c r="J26" s="5"/>
      <c r="M26" s="3"/>
      <c r="N26" s="3"/>
      <c r="P26" s="5"/>
      <c r="S26" s="3"/>
      <c r="T26" s="3"/>
      <c r="V26" s="5"/>
      <c r="Y26" s="3" t="s">
        <v>54</v>
      </c>
      <c r="Z26" s="3">
        <v>31847.7</v>
      </c>
      <c r="AA26">
        <v>500</v>
      </c>
      <c r="AB26" s="5">
        <v>15923850</v>
      </c>
      <c r="AC26" s="4" t="s">
        <v>244</v>
      </c>
      <c r="AD26" t="s">
        <v>245</v>
      </c>
      <c r="AE26" s="3"/>
      <c r="AF26" s="3"/>
      <c r="AH26" s="5"/>
      <c r="AK26" s="3"/>
      <c r="AL26" s="3"/>
      <c r="AN26" s="5"/>
      <c r="AQ26" s="3"/>
      <c r="AR26" s="3"/>
      <c r="AT26" s="5"/>
      <c r="AW26" s="3"/>
      <c r="AX26" s="3"/>
      <c r="AZ26" s="5"/>
      <c r="BC26" s="3" t="s">
        <v>54</v>
      </c>
      <c r="BD26" s="3">
        <v>96997</v>
      </c>
      <c r="BE26">
        <v>1200</v>
      </c>
      <c r="BF26" s="5">
        <v>116396400</v>
      </c>
      <c r="BG26" s="4" t="s">
        <v>246</v>
      </c>
      <c r="BH26" t="s">
        <v>247</v>
      </c>
      <c r="BI26" s="3"/>
      <c r="BJ26" s="3"/>
      <c r="BL26" s="5"/>
      <c r="BO26" s="3"/>
      <c r="BP26" s="3"/>
      <c r="BR26" s="5"/>
      <c r="BU26" s="3"/>
      <c r="BV26" s="3"/>
      <c r="BX26" s="5"/>
      <c r="CA26" s="3"/>
      <c r="CB26" s="3"/>
      <c r="CD26" s="5"/>
      <c r="CG26" s="3"/>
      <c r="CH26" s="3"/>
      <c r="CJ26" s="5"/>
      <c r="CM26" s="3"/>
      <c r="CN26" s="3"/>
      <c r="CP26" s="5"/>
      <c r="CS26" s="3"/>
      <c r="CT26" s="3"/>
      <c r="CV26" s="5"/>
      <c r="CY26" s="3"/>
      <c r="CZ26" s="3"/>
      <c r="DB26" s="5"/>
      <c r="DE26" s="3" t="s">
        <v>54</v>
      </c>
      <c r="DF26" s="3">
        <v>57855</v>
      </c>
      <c r="DG26">
        <v>1000</v>
      </c>
      <c r="DH26" s="5">
        <v>57855000</v>
      </c>
      <c r="DI26" s="4" t="s">
        <v>248</v>
      </c>
      <c r="DJ26" t="s">
        <v>249</v>
      </c>
      <c r="DK26" s="3" t="s">
        <v>54</v>
      </c>
      <c r="DL26" s="3">
        <v>21000</v>
      </c>
      <c r="DM26">
        <v>1200</v>
      </c>
      <c r="DN26" s="5">
        <v>25200000</v>
      </c>
      <c r="DO26" s="4" t="s">
        <v>250</v>
      </c>
      <c r="DP26" t="s">
        <v>251</v>
      </c>
      <c r="DQ26" s="3"/>
      <c r="DR26" s="3"/>
      <c r="DT26" s="5"/>
      <c r="DW26" s="3"/>
      <c r="DX26" s="3"/>
      <c r="DZ26" s="5"/>
      <c r="EC26" s="3"/>
      <c r="ED26" s="3"/>
      <c r="EF26" s="5"/>
      <c r="EI26" s="3"/>
      <c r="EJ26" s="3"/>
      <c r="EL26" s="5"/>
      <c r="EO26" s="3"/>
      <c r="EP26" s="3"/>
      <c r="ER26" s="5"/>
      <c r="EU26" s="3"/>
      <c r="EV26" s="3"/>
      <c r="EX26" s="5"/>
      <c r="FA26" s="3"/>
      <c r="FB26" s="3"/>
      <c r="FD26" s="5"/>
      <c r="FG26" s="3"/>
      <c r="FH26" s="3"/>
      <c r="FJ26" s="5"/>
      <c r="FM26" s="3"/>
      <c r="FN26" s="3"/>
      <c r="FP26" s="5"/>
    </row>
    <row r="27" spans="1:172" ht="28.8" x14ac:dyDescent="0.3">
      <c r="A27" t="s">
        <v>252</v>
      </c>
      <c r="B27" t="s">
        <v>50</v>
      </c>
      <c r="C27" t="s">
        <v>253</v>
      </c>
      <c r="D27" s="4" t="s">
        <v>254</v>
      </c>
      <c r="E27">
        <v>6</v>
      </c>
      <c r="F27" t="s">
        <v>66</v>
      </c>
      <c r="G27" s="3"/>
      <c r="H27" s="3"/>
      <c r="J27" s="5"/>
      <c r="M27" s="3"/>
      <c r="N27" s="3"/>
      <c r="P27" s="5"/>
      <c r="S27" s="3"/>
      <c r="T27" s="3"/>
      <c r="V27" s="5"/>
      <c r="Y27" s="3"/>
      <c r="Z27" s="3"/>
      <c r="AB27" s="5"/>
      <c r="AE27" s="3"/>
      <c r="AF27" s="3"/>
      <c r="AH27" s="5"/>
      <c r="AK27" s="3"/>
      <c r="AL27" s="3"/>
      <c r="AN27" s="5"/>
      <c r="AQ27" s="3"/>
      <c r="AR27" s="3"/>
      <c r="AT27" s="5"/>
      <c r="AW27" s="3"/>
      <c r="AX27" s="3"/>
      <c r="AZ27" s="5"/>
      <c r="BC27" s="3"/>
      <c r="BD27" s="3"/>
      <c r="BF27" s="5"/>
      <c r="BI27" s="3"/>
      <c r="BJ27" s="3"/>
      <c r="BL27" s="5"/>
      <c r="BO27" s="3"/>
      <c r="BP27" s="3"/>
      <c r="BR27" s="5"/>
      <c r="BU27" s="3" t="s">
        <v>54</v>
      </c>
      <c r="BV27" s="3">
        <v>36178</v>
      </c>
      <c r="BW27">
        <v>6</v>
      </c>
      <c r="BX27" s="5">
        <v>217068</v>
      </c>
      <c r="BY27" s="4" t="s">
        <v>255</v>
      </c>
      <c r="BZ27" t="s">
        <v>256</v>
      </c>
      <c r="CA27" s="3"/>
      <c r="CB27" s="3"/>
      <c r="CD27" s="5"/>
      <c r="CG27" s="3"/>
      <c r="CH27" s="3"/>
      <c r="CJ27" s="5"/>
      <c r="CM27" s="3" t="s">
        <v>54</v>
      </c>
      <c r="CN27" s="3">
        <v>61900</v>
      </c>
      <c r="CO27">
        <v>6</v>
      </c>
      <c r="CP27" s="5">
        <v>371400</v>
      </c>
      <c r="CQ27" s="4" t="s">
        <v>257</v>
      </c>
      <c r="CR27" t="s">
        <v>258</v>
      </c>
      <c r="CS27" s="3"/>
      <c r="CT27" s="3"/>
      <c r="CV27" s="5"/>
      <c r="CY27" s="3"/>
      <c r="CZ27" s="3"/>
      <c r="DB27" s="5"/>
      <c r="DE27" s="3"/>
      <c r="DF27" s="3"/>
      <c r="DH27" s="5"/>
      <c r="DK27" s="3"/>
      <c r="DL27" s="3"/>
      <c r="DN27" s="5"/>
      <c r="DQ27" s="3"/>
      <c r="DR27" s="3"/>
      <c r="DT27" s="5"/>
      <c r="DW27" s="3"/>
      <c r="DX27" s="3"/>
      <c r="DZ27" s="5"/>
      <c r="EC27" s="3"/>
      <c r="ED27" s="3"/>
      <c r="EF27" s="5"/>
      <c r="EI27" s="3"/>
      <c r="EJ27" s="3"/>
      <c r="EL27" s="5"/>
      <c r="EO27" s="3"/>
      <c r="EP27" s="3"/>
      <c r="ER27" s="5"/>
      <c r="EU27" s="3"/>
      <c r="EV27" s="3"/>
      <c r="EX27" s="5"/>
      <c r="FA27" s="3"/>
      <c r="FB27" s="3"/>
      <c r="FD27" s="5"/>
      <c r="FG27" s="3"/>
      <c r="FH27" s="3"/>
      <c r="FJ27" s="5"/>
      <c r="FM27" s="3"/>
      <c r="FN27" s="3"/>
      <c r="FP27" s="5"/>
    </row>
    <row r="28" spans="1:172" ht="28.8" x14ac:dyDescent="0.3">
      <c r="A28" t="s">
        <v>259</v>
      </c>
      <c r="B28" t="s">
        <v>50</v>
      </c>
      <c r="C28" t="s">
        <v>260</v>
      </c>
      <c r="D28" t="s">
        <v>261</v>
      </c>
      <c r="E28">
        <v>6</v>
      </c>
      <c r="F28" t="s">
        <v>66</v>
      </c>
      <c r="G28" s="3"/>
      <c r="H28" s="3"/>
      <c r="J28" s="5"/>
      <c r="M28" s="3"/>
      <c r="N28" s="3"/>
      <c r="P28" s="5"/>
      <c r="S28" s="3"/>
      <c r="T28" s="3"/>
      <c r="V28" s="5"/>
      <c r="Y28" s="3"/>
      <c r="Z28" s="3"/>
      <c r="AB28" s="5"/>
      <c r="AE28" s="3"/>
      <c r="AF28" s="3"/>
      <c r="AH28" s="5"/>
      <c r="AK28" s="3"/>
      <c r="AL28" s="3"/>
      <c r="AN28" s="5"/>
      <c r="AQ28" s="3"/>
      <c r="AR28" s="3"/>
      <c r="AT28" s="5"/>
      <c r="AW28" s="3"/>
      <c r="AX28" s="3"/>
      <c r="AZ28" s="5"/>
      <c r="BC28" s="3" t="s">
        <v>54</v>
      </c>
      <c r="BD28" s="3">
        <v>114666</v>
      </c>
      <c r="BE28">
        <v>6</v>
      </c>
      <c r="BF28" s="5">
        <v>687996</v>
      </c>
      <c r="BG28" t="s">
        <v>262</v>
      </c>
      <c r="BH28" t="s">
        <v>263</v>
      </c>
      <c r="BI28" s="3"/>
      <c r="BJ28" s="3"/>
      <c r="BL28" s="5"/>
      <c r="BO28" s="3"/>
      <c r="BP28" s="3"/>
      <c r="BR28" s="5"/>
      <c r="BU28" s="3" t="s">
        <v>54</v>
      </c>
      <c r="BV28" s="3">
        <v>38063</v>
      </c>
      <c r="BW28">
        <v>6</v>
      </c>
      <c r="BX28" s="5">
        <v>228378</v>
      </c>
      <c r="BY28" s="4" t="s">
        <v>264</v>
      </c>
      <c r="BZ28" t="s">
        <v>265</v>
      </c>
      <c r="CA28" s="3"/>
      <c r="CB28" s="3"/>
      <c r="CD28" s="5"/>
      <c r="CG28" s="3"/>
      <c r="CH28" s="3"/>
      <c r="CJ28" s="5"/>
      <c r="CM28" s="3" t="s">
        <v>54</v>
      </c>
      <c r="CN28" s="3">
        <v>65120</v>
      </c>
      <c r="CO28">
        <v>6</v>
      </c>
      <c r="CP28" s="5">
        <v>390720</v>
      </c>
      <c r="CQ28" s="4" t="s">
        <v>266</v>
      </c>
      <c r="CR28" t="s">
        <v>267</v>
      </c>
      <c r="CS28" s="3"/>
      <c r="CT28" s="3"/>
      <c r="CV28" s="5"/>
      <c r="CY28" s="3"/>
      <c r="CZ28" s="3"/>
      <c r="DB28" s="5"/>
      <c r="DE28" s="3"/>
      <c r="DF28" s="3"/>
      <c r="DH28" s="5"/>
      <c r="DK28" s="3"/>
      <c r="DL28" s="3"/>
      <c r="DN28" s="5"/>
      <c r="DQ28" s="3"/>
      <c r="DR28" s="3"/>
      <c r="DT28" s="5"/>
      <c r="DW28" s="3"/>
      <c r="DX28" s="3"/>
      <c r="DZ28" s="5"/>
      <c r="EC28" s="3"/>
      <c r="ED28" s="3"/>
      <c r="EF28" s="5"/>
      <c r="EI28" s="3"/>
      <c r="EJ28" s="3"/>
      <c r="EL28" s="5"/>
      <c r="EO28" s="3"/>
      <c r="EP28" s="3"/>
      <c r="ER28" s="5"/>
      <c r="EU28" s="3"/>
      <c r="EV28" s="3"/>
      <c r="EX28" s="5"/>
      <c r="FA28" s="3"/>
      <c r="FB28" s="3"/>
      <c r="FD28" s="5"/>
      <c r="FG28" s="3"/>
      <c r="FH28" s="3"/>
      <c r="FJ28" s="5"/>
      <c r="FM28" s="3"/>
      <c r="FN28" s="3"/>
      <c r="FP28" s="5"/>
    </row>
    <row r="29" spans="1:172" ht="28.8" x14ac:dyDescent="0.3">
      <c r="A29" t="s">
        <v>268</v>
      </c>
      <c r="B29" t="s">
        <v>50</v>
      </c>
      <c r="C29" t="s">
        <v>269</v>
      </c>
      <c r="D29" s="4" t="s">
        <v>270</v>
      </c>
      <c r="E29">
        <v>12</v>
      </c>
      <c r="F29" t="s">
        <v>53</v>
      </c>
      <c r="G29" s="3"/>
      <c r="H29" s="3"/>
      <c r="J29" s="5"/>
      <c r="M29" s="3"/>
      <c r="N29" s="3"/>
      <c r="P29" s="5"/>
      <c r="S29" s="3"/>
      <c r="T29" s="3"/>
      <c r="V29" s="5"/>
      <c r="Y29" s="3"/>
      <c r="Z29" s="3"/>
      <c r="AB29" s="5"/>
      <c r="AE29" s="3"/>
      <c r="AF29" s="3"/>
      <c r="AH29" s="5"/>
      <c r="AK29" s="3"/>
      <c r="AL29" s="3"/>
      <c r="AN29" s="5"/>
      <c r="AQ29" s="3"/>
      <c r="AR29" s="3"/>
      <c r="AT29" s="5"/>
      <c r="AW29" s="3"/>
      <c r="AX29" s="3"/>
      <c r="AZ29" s="5"/>
      <c r="BC29" s="3" t="s">
        <v>54</v>
      </c>
      <c r="BD29" s="3">
        <v>196999</v>
      </c>
      <c r="BE29">
        <v>12</v>
      </c>
      <c r="BF29" s="5">
        <v>2363988</v>
      </c>
      <c r="BG29" t="s">
        <v>271</v>
      </c>
      <c r="BH29" t="s">
        <v>272</v>
      </c>
      <c r="BI29" s="3"/>
      <c r="BJ29" s="3"/>
      <c r="BL29" s="5"/>
      <c r="BO29" s="3"/>
      <c r="BP29" s="3"/>
      <c r="BR29" s="5"/>
      <c r="BU29" s="3" t="s">
        <v>54</v>
      </c>
      <c r="BV29" s="3">
        <v>92838</v>
      </c>
      <c r="BW29">
        <v>12</v>
      </c>
      <c r="BX29" s="5">
        <v>1114056</v>
      </c>
      <c r="BY29" s="4" t="s">
        <v>273</v>
      </c>
      <c r="BZ29" t="s">
        <v>274</v>
      </c>
      <c r="CA29" s="3"/>
      <c r="CB29" s="3"/>
      <c r="CD29" s="5"/>
      <c r="CG29" s="3"/>
      <c r="CH29" s="3"/>
      <c r="CJ29" s="5"/>
      <c r="CM29" s="3" t="s">
        <v>54</v>
      </c>
      <c r="CN29" s="3">
        <v>158840</v>
      </c>
      <c r="CO29">
        <v>12</v>
      </c>
      <c r="CP29" s="5">
        <v>1906080</v>
      </c>
      <c r="CQ29" s="4" t="s">
        <v>275</v>
      </c>
      <c r="CR29" t="s">
        <v>276</v>
      </c>
      <c r="CS29" s="3"/>
      <c r="CT29" s="3"/>
      <c r="CV29" s="5"/>
      <c r="CY29" s="3"/>
      <c r="CZ29" s="3"/>
      <c r="DB29" s="5"/>
      <c r="DE29" s="3"/>
      <c r="DF29" s="3"/>
      <c r="DH29" s="5"/>
      <c r="DK29" s="3"/>
      <c r="DL29" s="3"/>
      <c r="DN29" s="5"/>
      <c r="DQ29" s="3"/>
      <c r="DR29" s="3"/>
      <c r="DT29" s="5"/>
      <c r="DW29" s="3"/>
      <c r="DX29" s="3"/>
      <c r="DZ29" s="5"/>
      <c r="EC29" s="3"/>
      <c r="ED29" s="3"/>
      <c r="EF29" s="5"/>
      <c r="EI29" s="3"/>
      <c r="EJ29" s="3"/>
      <c r="EL29" s="5"/>
      <c r="EO29" s="3"/>
      <c r="EP29" s="3"/>
      <c r="ER29" s="5"/>
      <c r="EU29" s="3"/>
      <c r="EV29" s="3"/>
      <c r="EX29" s="5"/>
      <c r="FA29" s="3"/>
      <c r="FB29" s="3"/>
      <c r="FD29" s="5"/>
      <c r="FG29" s="3"/>
      <c r="FH29" s="3"/>
      <c r="FJ29" s="5"/>
      <c r="FM29" s="3"/>
      <c r="FN29" s="3"/>
      <c r="FP29" s="5"/>
    </row>
    <row r="30" spans="1:172" ht="187.2" x14ac:dyDescent="0.3">
      <c r="A30" t="s">
        <v>277</v>
      </c>
      <c r="B30" t="s">
        <v>50</v>
      </c>
      <c r="C30" t="s">
        <v>278</v>
      </c>
      <c r="D30" s="4" t="s">
        <v>279</v>
      </c>
      <c r="E30">
        <v>900</v>
      </c>
      <c r="F30" t="s">
        <v>53</v>
      </c>
      <c r="G30" s="3"/>
      <c r="H30" s="3"/>
      <c r="J30" s="5"/>
      <c r="M30" s="3" t="s">
        <v>54</v>
      </c>
      <c r="N30" s="3">
        <v>269.92</v>
      </c>
      <c r="O30">
        <v>900</v>
      </c>
      <c r="P30" s="5">
        <v>242928</v>
      </c>
      <c r="Q30" s="4" t="s">
        <v>280</v>
      </c>
      <c r="R30" t="s">
        <v>281</v>
      </c>
      <c r="S30" s="3" t="s">
        <v>54</v>
      </c>
      <c r="T30" s="3">
        <v>2330</v>
      </c>
      <c r="U30">
        <v>900</v>
      </c>
      <c r="V30" s="5">
        <v>2097000</v>
      </c>
      <c r="W30" s="4" t="s">
        <v>282</v>
      </c>
      <c r="X30" t="s">
        <v>283</v>
      </c>
      <c r="Y30" s="3"/>
      <c r="Z30" s="3"/>
      <c r="AB30" s="5"/>
      <c r="AE30" s="3"/>
      <c r="AF30" s="3"/>
      <c r="AH30" s="5"/>
      <c r="AK30" s="3" t="s">
        <v>54</v>
      </c>
      <c r="AL30" s="3">
        <v>953.56</v>
      </c>
      <c r="AM30">
        <v>900</v>
      </c>
      <c r="AN30" s="5">
        <v>858204</v>
      </c>
      <c r="AO30" s="4" t="s">
        <v>284</v>
      </c>
      <c r="AP30" t="s">
        <v>285</v>
      </c>
      <c r="AQ30" s="3"/>
      <c r="AR30" s="3"/>
      <c r="AT30" s="5"/>
      <c r="AW30" s="3" t="s">
        <v>54</v>
      </c>
      <c r="AX30" s="3">
        <v>465</v>
      </c>
      <c r="AY30">
        <v>900</v>
      </c>
      <c r="AZ30" s="5">
        <v>418500</v>
      </c>
      <c r="BA30" s="4" t="s">
        <v>286</v>
      </c>
      <c r="BB30" t="s">
        <v>287</v>
      </c>
      <c r="BC30" s="3" t="s">
        <v>54</v>
      </c>
      <c r="BD30" s="3">
        <v>1599</v>
      </c>
      <c r="BE30">
        <v>900</v>
      </c>
      <c r="BF30" s="5">
        <v>1439100</v>
      </c>
      <c r="BG30" s="4" t="s">
        <v>288</v>
      </c>
      <c r="BH30" t="s">
        <v>289</v>
      </c>
      <c r="BI30" s="3"/>
      <c r="BJ30" s="3"/>
      <c r="BL30" s="5"/>
      <c r="BO30" s="3"/>
      <c r="BP30" s="3"/>
      <c r="BR30" s="5"/>
      <c r="BU30" s="3"/>
      <c r="BV30" s="3"/>
      <c r="BX30" s="5"/>
      <c r="CA30" s="3"/>
      <c r="CB30" s="3"/>
      <c r="CD30" s="5"/>
      <c r="CG30" s="3"/>
      <c r="CH30" s="3"/>
      <c r="CJ30" s="5"/>
      <c r="CM30" s="3"/>
      <c r="CN30" s="3"/>
      <c r="CP30" s="5"/>
      <c r="CS30" s="3"/>
      <c r="CT30" s="3"/>
      <c r="CV30" s="5"/>
      <c r="CY30" s="3"/>
      <c r="CZ30" s="3"/>
      <c r="DB30" s="5"/>
      <c r="DE30" s="3"/>
      <c r="DF30" s="3"/>
      <c r="DH30" s="5"/>
      <c r="DK30" s="3"/>
      <c r="DL30" s="3"/>
      <c r="DN30" s="5"/>
      <c r="DQ30" s="3"/>
      <c r="DR30" s="3"/>
      <c r="DT30" s="5"/>
      <c r="DW30" s="3"/>
      <c r="DX30" s="3"/>
      <c r="DZ30" s="5"/>
      <c r="EC30" s="3"/>
      <c r="ED30" s="3"/>
      <c r="EF30" s="5"/>
      <c r="EI30" s="3"/>
      <c r="EJ30" s="3"/>
      <c r="EL30" s="5"/>
      <c r="EO30" s="3"/>
      <c r="EP30" s="3"/>
      <c r="ER30" s="5"/>
      <c r="EU30" s="3"/>
      <c r="EV30" s="3"/>
      <c r="EX30" s="5"/>
      <c r="FA30" s="3"/>
      <c r="FB30" s="3"/>
      <c r="FD30" s="5"/>
      <c r="FG30" s="3"/>
      <c r="FH30" s="3"/>
      <c r="FJ30" s="5"/>
      <c r="FM30" s="3"/>
      <c r="FN30" s="3"/>
      <c r="FP30" s="5"/>
    </row>
    <row r="31" spans="1:172" ht="57.6" x14ac:dyDescent="0.3">
      <c r="A31" t="s">
        <v>290</v>
      </c>
      <c r="B31" t="s">
        <v>50</v>
      </c>
      <c r="C31" t="s">
        <v>291</v>
      </c>
      <c r="D31" s="4" t="s">
        <v>292</v>
      </c>
      <c r="E31">
        <v>30</v>
      </c>
      <c r="F31" t="s">
        <v>53</v>
      </c>
      <c r="G31" s="3"/>
      <c r="H31" s="3"/>
      <c r="J31" s="5"/>
      <c r="M31" s="3"/>
      <c r="N31" s="3"/>
      <c r="P31" s="5"/>
      <c r="S31" s="3"/>
      <c r="T31" s="3"/>
      <c r="V31" s="5"/>
      <c r="Y31" s="3"/>
      <c r="Z31" s="3"/>
      <c r="AB31" s="5"/>
      <c r="AE31" s="3"/>
      <c r="AF31" s="3"/>
      <c r="AH31" s="5"/>
      <c r="AK31" s="3"/>
      <c r="AL31" s="3"/>
      <c r="AN31" s="5"/>
      <c r="AQ31" s="3"/>
      <c r="AR31" s="3"/>
      <c r="AT31" s="5"/>
      <c r="AW31" s="3"/>
      <c r="AX31" s="3"/>
      <c r="AZ31" s="5"/>
      <c r="BC31" s="3" t="s">
        <v>54</v>
      </c>
      <c r="BD31" s="3">
        <v>44443</v>
      </c>
      <c r="BE31">
        <v>30</v>
      </c>
      <c r="BF31" s="5">
        <v>1333290</v>
      </c>
      <c r="BG31" t="s">
        <v>293</v>
      </c>
      <c r="BH31" t="s">
        <v>294</v>
      </c>
      <c r="BI31" s="3"/>
      <c r="BJ31" s="3"/>
      <c r="BL31" s="5"/>
      <c r="BO31" s="3"/>
      <c r="BP31" s="3"/>
      <c r="BR31" s="5"/>
      <c r="BU31" s="3"/>
      <c r="BV31" s="3"/>
      <c r="BX31" s="5"/>
      <c r="CA31" s="3"/>
      <c r="CB31" s="3"/>
      <c r="CD31" s="5"/>
      <c r="CG31" s="3"/>
      <c r="CH31" s="3"/>
      <c r="CJ31" s="5"/>
      <c r="CM31" s="3"/>
      <c r="CN31" s="3"/>
      <c r="CP31" s="5"/>
      <c r="CS31" s="3"/>
      <c r="CT31" s="3"/>
      <c r="CV31" s="5"/>
      <c r="CY31" s="3"/>
      <c r="CZ31" s="3"/>
      <c r="DB31" s="5"/>
      <c r="DE31" s="3"/>
      <c r="DF31" s="3"/>
      <c r="DH31" s="5"/>
      <c r="DK31" s="3"/>
      <c r="DL31" s="3"/>
      <c r="DN31" s="5"/>
      <c r="DQ31" s="3" t="s">
        <v>54</v>
      </c>
      <c r="DR31" s="3">
        <v>214000</v>
      </c>
      <c r="DS31">
        <v>30</v>
      </c>
      <c r="DT31" s="5">
        <v>6420000</v>
      </c>
      <c r="DU31" s="4" t="s">
        <v>295</v>
      </c>
      <c r="DV31" t="s">
        <v>296</v>
      </c>
      <c r="DW31" s="3"/>
      <c r="DX31" s="3"/>
      <c r="DZ31" s="5"/>
      <c r="EC31" s="3"/>
      <c r="ED31" s="3"/>
      <c r="EF31" s="5"/>
      <c r="EI31" s="3"/>
      <c r="EJ31" s="3"/>
      <c r="EL31" s="5"/>
      <c r="EO31" s="3"/>
      <c r="EP31" s="3"/>
      <c r="ER31" s="5"/>
      <c r="EU31" s="3"/>
      <c r="EV31" s="3"/>
      <c r="EX31" s="5"/>
      <c r="FA31" s="3"/>
      <c r="FB31" s="3"/>
      <c r="FD31" s="5"/>
      <c r="FG31" s="3"/>
      <c r="FH31" s="3"/>
      <c r="FJ31" s="5"/>
      <c r="FM31" s="3"/>
      <c r="FN31" s="3"/>
      <c r="FP31" s="5"/>
    </row>
    <row r="32" spans="1:172" ht="388.8" x14ac:dyDescent="0.3">
      <c r="A32" t="s">
        <v>297</v>
      </c>
      <c r="B32" t="s">
        <v>50</v>
      </c>
      <c r="C32" t="s">
        <v>298</v>
      </c>
      <c r="D32" s="4" t="s">
        <v>299</v>
      </c>
      <c r="E32">
        <v>600</v>
      </c>
      <c r="F32" t="s">
        <v>53</v>
      </c>
      <c r="G32" s="3"/>
      <c r="H32" s="3"/>
      <c r="J32" s="5"/>
      <c r="M32" s="3"/>
      <c r="N32" s="3"/>
      <c r="P32" s="5"/>
      <c r="S32" s="3"/>
      <c r="T32" s="3"/>
      <c r="V32" s="5"/>
      <c r="Y32" s="3"/>
      <c r="Z32" s="3"/>
      <c r="AB32" s="5"/>
      <c r="AE32" s="3"/>
      <c r="AF32" s="3"/>
      <c r="AH32" s="5"/>
      <c r="AK32" s="3" t="s">
        <v>54</v>
      </c>
      <c r="AL32" s="3">
        <v>2180.7199999999998</v>
      </c>
      <c r="AM32">
        <v>600</v>
      </c>
      <c r="AN32" s="5">
        <v>1308432</v>
      </c>
      <c r="AO32" s="4" t="s">
        <v>300</v>
      </c>
      <c r="AP32" t="s">
        <v>301</v>
      </c>
      <c r="AQ32" s="3"/>
      <c r="AR32" s="3"/>
      <c r="AT32" s="5"/>
      <c r="AW32" s="3"/>
      <c r="AX32" s="3"/>
      <c r="AZ32" s="5"/>
      <c r="BC32" s="3"/>
      <c r="BD32" s="3"/>
      <c r="BF32" s="5"/>
      <c r="BI32" s="3" t="s">
        <v>54</v>
      </c>
      <c r="BJ32" s="3">
        <v>3479.98</v>
      </c>
      <c r="BK32">
        <v>600</v>
      </c>
      <c r="BL32" s="5">
        <v>2087988</v>
      </c>
      <c r="BM32" s="4" t="s">
        <v>302</v>
      </c>
      <c r="BN32" t="s">
        <v>303</v>
      </c>
      <c r="BO32" s="3"/>
      <c r="BP32" s="3"/>
      <c r="BR32" s="5"/>
      <c r="BU32" s="3"/>
      <c r="BV32" s="3"/>
      <c r="BX32" s="5"/>
      <c r="CA32" s="3" t="s">
        <v>54</v>
      </c>
      <c r="CB32" s="3">
        <v>4808.71</v>
      </c>
      <c r="CC32">
        <v>600</v>
      </c>
      <c r="CD32" s="5">
        <v>2885226</v>
      </c>
      <c r="CE32" t="s">
        <v>304</v>
      </c>
      <c r="CF32" t="s">
        <v>305</v>
      </c>
      <c r="CG32" s="3"/>
      <c r="CH32" s="3"/>
      <c r="CJ32" s="5"/>
      <c r="CM32" s="3"/>
      <c r="CN32" s="3"/>
      <c r="CP32" s="5"/>
      <c r="CS32" s="3"/>
      <c r="CT32" s="3"/>
      <c r="CV32" s="5"/>
      <c r="CY32" s="3"/>
      <c r="CZ32" s="3"/>
      <c r="DB32" s="5"/>
      <c r="DE32" s="3"/>
      <c r="DF32" s="3"/>
      <c r="DH32" s="5"/>
      <c r="DK32" s="3"/>
      <c r="DL32" s="3"/>
      <c r="DN32" s="5"/>
      <c r="DQ32" s="3"/>
      <c r="DR32" s="3"/>
      <c r="DT32" s="5"/>
      <c r="DW32" s="3" t="s">
        <v>54</v>
      </c>
      <c r="DX32" s="3">
        <v>5000</v>
      </c>
      <c r="DY32">
        <v>600</v>
      </c>
      <c r="DZ32" s="5">
        <v>3000000</v>
      </c>
      <c r="EA32" s="4" t="s">
        <v>306</v>
      </c>
      <c r="EB32" t="s">
        <v>307</v>
      </c>
      <c r="EC32" s="3" t="s">
        <v>54</v>
      </c>
      <c r="ED32" s="3">
        <v>2250</v>
      </c>
      <c r="EE32">
        <v>600</v>
      </c>
      <c r="EF32" s="5">
        <v>1350000</v>
      </c>
      <c r="EG32" s="4" t="s">
        <v>308</v>
      </c>
      <c r="EH32" t="s">
        <v>309</v>
      </c>
      <c r="EI32" s="3" t="s">
        <v>54</v>
      </c>
      <c r="EJ32" s="3">
        <v>3378</v>
      </c>
      <c r="EK32">
        <v>600</v>
      </c>
      <c r="EL32" s="5">
        <v>2026800</v>
      </c>
      <c r="EM32" s="4" t="s">
        <v>310</v>
      </c>
      <c r="EN32" t="s">
        <v>311</v>
      </c>
      <c r="EO32" s="3" t="s">
        <v>54</v>
      </c>
      <c r="EP32" s="3">
        <v>1590</v>
      </c>
      <c r="EQ32">
        <v>600</v>
      </c>
      <c r="ER32" s="5">
        <v>954000</v>
      </c>
      <c r="ES32" s="4" t="s">
        <v>312</v>
      </c>
      <c r="ET32" t="s">
        <v>313</v>
      </c>
      <c r="EU32" s="3" t="s">
        <v>54</v>
      </c>
      <c r="EV32" s="3">
        <v>1630</v>
      </c>
      <c r="EW32">
        <v>600</v>
      </c>
      <c r="EX32" s="5">
        <v>978000</v>
      </c>
      <c r="EY32" s="4" t="s">
        <v>314</v>
      </c>
      <c r="EZ32" t="s">
        <v>315</v>
      </c>
      <c r="FA32" s="3" t="s">
        <v>54</v>
      </c>
      <c r="FB32" s="3">
        <v>1439.9</v>
      </c>
      <c r="FC32">
        <v>600</v>
      </c>
      <c r="FD32" s="5">
        <v>863940</v>
      </c>
      <c r="FE32" s="4" t="s">
        <v>316</v>
      </c>
      <c r="FF32" t="s">
        <v>317</v>
      </c>
      <c r="FG32" s="3" t="s">
        <v>54</v>
      </c>
      <c r="FH32" s="3">
        <v>1899</v>
      </c>
      <c r="FI32">
        <v>600</v>
      </c>
      <c r="FJ32" s="5">
        <v>1139400</v>
      </c>
      <c r="FK32" s="4" t="s">
        <v>318</v>
      </c>
      <c r="FL32" t="s">
        <v>319</v>
      </c>
      <c r="FM32" s="3"/>
      <c r="FN32" s="3"/>
      <c r="FP32" s="5"/>
    </row>
    <row r="33" spans="1:174" ht="388.8" x14ac:dyDescent="0.3">
      <c r="A33" t="s">
        <v>320</v>
      </c>
      <c r="B33" t="s">
        <v>50</v>
      </c>
      <c r="C33" t="s">
        <v>321</v>
      </c>
      <c r="D33" s="4" t="s">
        <v>322</v>
      </c>
      <c r="E33">
        <v>600</v>
      </c>
      <c r="F33" t="s">
        <v>53</v>
      </c>
      <c r="G33" s="3"/>
      <c r="H33" s="3"/>
      <c r="J33" s="5"/>
      <c r="M33" s="3"/>
      <c r="N33" s="3"/>
      <c r="P33" s="5"/>
      <c r="S33" s="3"/>
      <c r="T33" s="3"/>
      <c r="V33" s="5"/>
      <c r="Y33" s="3"/>
      <c r="Z33" s="3"/>
      <c r="AB33" s="5"/>
      <c r="AE33" s="3"/>
      <c r="AF33" s="3"/>
      <c r="AH33" s="5"/>
      <c r="AK33" s="3" t="s">
        <v>54</v>
      </c>
      <c r="AL33" s="3">
        <v>2349.4</v>
      </c>
      <c r="AM33">
        <v>600</v>
      </c>
      <c r="AN33" s="5">
        <v>1409640</v>
      </c>
      <c r="AO33" s="4" t="s">
        <v>323</v>
      </c>
      <c r="AP33" t="s">
        <v>324</v>
      </c>
      <c r="AQ33" s="3"/>
      <c r="AR33" s="3"/>
      <c r="AT33" s="5"/>
      <c r="AW33" s="3"/>
      <c r="AX33" s="3"/>
      <c r="AZ33" s="5"/>
      <c r="BC33" s="3"/>
      <c r="BD33" s="3"/>
      <c r="BF33" s="5"/>
      <c r="BI33" s="3" t="s">
        <v>54</v>
      </c>
      <c r="BJ33" s="3">
        <v>4196.9799999999996</v>
      </c>
      <c r="BK33">
        <v>600</v>
      </c>
      <c r="BL33" s="5">
        <v>2518188</v>
      </c>
      <c r="BM33" s="4" t="s">
        <v>325</v>
      </c>
      <c r="BN33" t="s">
        <v>326</v>
      </c>
      <c r="BO33" s="3"/>
      <c r="BP33" s="3"/>
      <c r="BR33" s="5"/>
      <c r="BU33" s="3"/>
      <c r="BV33" s="3"/>
      <c r="BX33" s="5"/>
      <c r="CA33" s="3" t="s">
        <v>54</v>
      </c>
      <c r="CB33" s="3">
        <v>5201.74</v>
      </c>
      <c r="CC33">
        <v>600</v>
      </c>
      <c r="CD33" s="5">
        <v>3121044</v>
      </c>
      <c r="CE33" t="s">
        <v>327</v>
      </c>
      <c r="CF33" t="s">
        <v>328</v>
      </c>
      <c r="CG33" s="3"/>
      <c r="CH33" s="3"/>
      <c r="CJ33" s="5"/>
      <c r="CM33" s="3"/>
      <c r="CN33" s="3"/>
      <c r="CP33" s="5"/>
      <c r="CS33" s="3"/>
      <c r="CT33" s="3"/>
      <c r="CV33" s="5"/>
      <c r="CY33" s="3"/>
      <c r="CZ33" s="3"/>
      <c r="DB33" s="5"/>
      <c r="DE33" s="3"/>
      <c r="DF33" s="3"/>
      <c r="DH33" s="5"/>
      <c r="DK33" s="3"/>
      <c r="DL33" s="3"/>
      <c r="DN33" s="5"/>
      <c r="DQ33" s="3"/>
      <c r="DR33" s="3"/>
      <c r="DT33" s="5"/>
      <c r="DW33" s="3" t="s">
        <v>54</v>
      </c>
      <c r="DX33" s="3">
        <v>5290</v>
      </c>
      <c r="DY33">
        <v>600</v>
      </c>
      <c r="DZ33" s="5">
        <v>3174000</v>
      </c>
      <c r="EA33" s="4" t="s">
        <v>329</v>
      </c>
      <c r="EB33" t="s">
        <v>330</v>
      </c>
      <c r="EC33" s="3" t="s">
        <v>54</v>
      </c>
      <c r="ED33" s="3">
        <v>2250</v>
      </c>
      <c r="EE33">
        <v>600</v>
      </c>
      <c r="EF33" s="5">
        <v>1350000</v>
      </c>
      <c r="EG33" s="4" t="s">
        <v>331</v>
      </c>
      <c r="EH33" t="s">
        <v>309</v>
      </c>
      <c r="EI33" s="3" t="s">
        <v>54</v>
      </c>
      <c r="EJ33" s="3">
        <v>4000</v>
      </c>
      <c r="EK33">
        <v>600</v>
      </c>
      <c r="EL33" s="5">
        <v>2400000</v>
      </c>
      <c r="EM33" s="4" t="s">
        <v>332</v>
      </c>
      <c r="EN33" t="s">
        <v>89</v>
      </c>
      <c r="EO33" s="3" t="s">
        <v>54</v>
      </c>
      <c r="EP33" s="3">
        <v>1746</v>
      </c>
      <c r="EQ33">
        <v>600</v>
      </c>
      <c r="ER33" s="5">
        <v>1047600</v>
      </c>
      <c r="ES33" s="4" t="s">
        <v>333</v>
      </c>
      <c r="ET33" t="s">
        <v>334</v>
      </c>
      <c r="EU33" s="3" t="s">
        <v>54</v>
      </c>
      <c r="EV33" s="3">
        <v>1780</v>
      </c>
      <c r="EW33">
        <v>600</v>
      </c>
      <c r="EX33" s="5">
        <v>1068000</v>
      </c>
      <c r="EY33" s="4" t="s">
        <v>335</v>
      </c>
      <c r="EZ33" t="s">
        <v>336</v>
      </c>
      <c r="FA33" s="3" t="s">
        <v>54</v>
      </c>
      <c r="FB33" s="3">
        <v>1439.9</v>
      </c>
      <c r="FC33">
        <v>600</v>
      </c>
      <c r="FD33" s="5">
        <v>863940</v>
      </c>
      <c r="FE33" s="4" t="s">
        <v>337</v>
      </c>
      <c r="FF33" t="s">
        <v>317</v>
      </c>
      <c r="FG33" s="3" t="s">
        <v>54</v>
      </c>
      <c r="FH33" s="3">
        <v>2250</v>
      </c>
      <c r="FI33">
        <v>600</v>
      </c>
      <c r="FJ33" s="5">
        <v>1350000</v>
      </c>
      <c r="FK33" s="4" t="s">
        <v>338</v>
      </c>
      <c r="FL33" t="s">
        <v>309</v>
      </c>
      <c r="FM33" s="3"/>
      <c r="FN33" s="3"/>
      <c r="FP33" s="5"/>
    </row>
    <row r="34" spans="1:174" ht="360" x14ac:dyDescent="0.3">
      <c r="A34" t="s">
        <v>339</v>
      </c>
      <c r="B34" t="s">
        <v>50</v>
      </c>
      <c r="C34" t="s">
        <v>340</v>
      </c>
      <c r="D34" s="4" t="s">
        <v>341</v>
      </c>
      <c r="E34">
        <v>600</v>
      </c>
      <c r="F34" t="s">
        <v>53</v>
      </c>
      <c r="G34" s="3"/>
      <c r="H34" s="3"/>
      <c r="J34" s="5"/>
      <c r="M34" s="3"/>
      <c r="N34" s="3"/>
      <c r="P34" s="5"/>
      <c r="S34" s="3"/>
      <c r="T34" s="3"/>
      <c r="V34" s="5"/>
      <c r="Y34" s="3"/>
      <c r="Z34" s="3"/>
      <c r="AB34" s="5"/>
      <c r="AE34" s="3"/>
      <c r="AF34" s="3"/>
      <c r="AH34" s="5"/>
      <c r="AK34" s="3" t="s">
        <v>54</v>
      </c>
      <c r="AL34" s="3">
        <v>2277.11</v>
      </c>
      <c r="AM34">
        <v>600</v>
      </c>
      <c r="AN34" s="5">
        <v>1366266</v>
      </c>
      <c r="AO34" s="4" t="s">
        <v>342</v>
      </c>
      <c r="AP34" t="s">
        <v>343</v>
      </c>
      <c r="AQ34" s="3"/>
      <c r="AR34" s="3"/>
      <c r="AT34" s="5"/>
      <c r="AW34" s="3"/>
      <c r="AX34" s="3"/>
      <c r="AZ34" s="5"/>
      <c r="BC34" s="3"/>
      <c r="BD34" s="3"/>
      <c r="BF34" s="5"/>
      <c r="BI34" s="3" t="s">
        <v>54</v>
      </c>
      <c r="BJ34" s="3">
        <v>3889.98</v>
      </c>
      <c r="BK34">
        <v>600</v>
      </c>
      <c r="BL34" s="5">
        <v>2333988</v>
      </c>
      <c r="BM34" s="4" t="s">
        <v>344</v>
      </c>
      <c r="BN34" t="s">
        <v>345</v>
      </c>
      <c r="BO34" s="3"/>
      <c r="BP34" s="3"/>
      <c r="BR34" s="5"/>
      <c r="BU34" s="3"/>
      <c r="BV34" s="3"/>
      <c r="BX34" s="5"/>
      <c r="CA34" s="3" t="s">
        <v>54</v>
      </c>
      <c r="CB34" s="3">
        <v>5697.65</v>
      </c>
      <c r="CC34">
        <v>600</v>
      </c>
      <c r="CD34" s="5">
        <v>3418590</v>
      </c>
      <c r="CE34" t="s">
        <v>346</v>
      </c>
      <c r="CF34" t="s">
        <v>347</v>
      </c>
      <c r="CG34" s="3"/>
      <c r="CH34" s="3"/>
      <c r="CJ34" s="5"/>
      <c r="CM34" s="3"/>
      <c r="CN34" s="3"/>
      <c r="CP34" s="5"/>
      <c r="CS34" s="3"/>
      <c r="CT34" s="3"/>
      <c r="CV34" s="5"/>
      <c r="CY34" s="3"/>
      <c r="CZ34" s="3"/>
      <c r="DB34" s="5"/>
      <c r="DE34" s="3"/>
      <c r="DF34" s="3"/>
      <c r="DH34" s="5"/>
      <c r="DK34" s="3"/>
      <c r="DL34" s="3"/>
      <c r="DN34" s="5"/>
      <c r="DQ34" s="3"/>
      <c r="DR34" s="3"/>
      <c r="DT34" s="5"/>
      <c r="DW34" s="3" t="s">
        <v>54</v>
      </c>
      <c r="DX34" s="3">
        <v>5150</v>
      </c>
      <c r="DY34">
        <v>600</v>
      </c>
      <c r="DZ34" s="5">
        <v>3090000</v>
      </c>
      <c r="EA34" s="4" t="s">
        <v>348</v>
      </c>
      <c r="EB34" t="s">
        <v>349</v>
      </c>
      <c r="EC34" s="3" t="s">
        <v>54</v>
      </c>
      <c r="ED34" s="3">
        <v>2250</v>
      </c>
      <c r="EE34">
        <v>600</v>
      </c>
      <c r="EF34" s="5">
        <v>1350000</v>
      </c>
      <c r="EG34" s="4" t="s">
        <v>350</v>
      </c>
      <c r="EH34" t="s">
        <v>309</v>
      </c>
      <c r="EI34" s="3" t="s">
        <v>54</v>
      </c>
      <c r="EJ34" s="3">
        <v>3654</v>
      </c>
      <c r="EK34">
        <v>600</v>
      </c>
      <c r="EL34" s="5">
        <v>2192400</v>
      </c>
      <c r="EM34" s="4" t="s">
        <v>351</v>
      </c>
      <c r="EN34" t="s">
        <v>352</v>
      </c>
      <c r="EO34" s="3" t="s">
        <v>54</v>
      </c>
      <c r="EP34" s="3">
        <v>1620</v>
      </c>
      <c r="EQ34">
        <v>600</v>
      </c>
      <c r="ER34" s="5">
        <v>972000</v>
      </c>
      <c r="ES34" s="4" t="s">
        <v>353</v>
      </c>
      <c r="ET34" t="s">
        <v>354</v>
      </c>
      <c r="EU34" s="3" t="s">
        <v>54</v>
      </c>
      <c r="EV34" s="3">
        <v>1640</v>
      </c>
      <c r="EW34">
        <v>600</v>
      </c>
      <c r="EX34" s="5">
        <v>984000</v>
      </c>
      <c r="EY34" s="4" t="s">
        <v>355</v>
      </c>
      <c r="EZ34" t="s">
        <v>356</v>
      </c>
      <c r="FA34" s="3" t="s">
        <v>54</v>
      </c>
      <c r="FB34" s="3">
        <v>1439.9</v>
      </c>
      <c r="FC34">
        <v>600</v>
      </c>
      <c r="FD34" s="5">
        <v>863940</v>
      </c>
      <c r="FE34" s="4" t="s">
        <v>357</v>
      </c>
      <c r="FF34" t="s">
        <v>317</v>
      </c>
      <c r="FG34" s="3" t="s">
        <v>54</v>
      </c>
      <c r="FH34" s="3">
        <v>2250</v>
      </c>
      <c r="FI34">
        <v>600</v>
      </c>
      <c r="FJ34" s="5">
        <v>1350000</v>
      </c>
      <c r="FK34" s="4" t="s">
        <v>358</v>
      </c>
      <c r="FL34" t="s">
        <v>309</v>
      </c>
      <c r="FM34" s="3"/>
      <c r="FN34" s="3"/>
      <c r="FP34" s="5"/>
    </row>
    <row r="35" spans="1:174" ht="409.6" x14ac:dyDescent="0.3">
      <c r="A35" t="s">
        <v>359</v>
      </c>
      <c r="B35" t="s">
        <v>50</v>
      </c>
      <c r="C35" t="s">
        <v>360</v>
      </c>
      <c r="D35" s="4" t="s">
        <v>361</v>
      </c>
      <c r="E35">
        <v>125</v>
      </c>
      <c r="F35" t="s">
        <v>53</v>
      </c>
      <c r="G35" s="3"/>
      <c r="H35" s="3"/>
      <c r="J35" s="5"/>
      <c r="M35" s="3"/>
      <c r="N35" s="3"/>
      <c r="P35" s="5"/>
      <c r="S35" s="3"/>
      <c r="T35" s="3"/>
      <c r="V35" s="5"/>
      <c r="Y35" s="3"/>
      <c r="Z35" s="3"/>
      <c r="AB35" s="5"/>
      <c r="AE35" s="3"/>
      <c r="AF35" s="3"/>
      <c r="AH35" s="5"/>
      <c r="AK35" s="3" t="s">
        <v>54</v>
      </c>
      <c r="AL35" s="3">
        <v>50602.41</v>
      </c>
      <c r="AM35">
        <v>125</v>
      </c>
      <c r="AN35" s="5">
        <v>6325301.25</v>
      </c>
      <c r="AO35" s="4" t="s">
        <v>362</v>
      </c>
      <c r="AP35" t="s">
        <v>363</v>
      </c>
      <c r="AQ35" s="3"/>
      <c r="AR35" s="3"/>
      <c r="AT35" s="5"/>
      <c r="AW35" s="3"/>
      <c r="AX35" s="3"/>
      <c r="AZ35" s="5"/>
      <c r="BC35" s="3"/>
      <c r="BD35" s="3"/>
      <c r="BF35" s="5"/>
      <c r="BI35" s="3"/>
      <c r="BJ35" s="3"/>
      <c r="BL35" s="5"/>
      <c r="BO35" s="3"/>
      <c r="BP35" s="3"/>
      <c r="BR35" s="5"/>
      <c r="BU35" s="3"/>
      <c r="BV35" s="3"/>
      <c r="BX35" s="5"/>
      <c r="CA35" s="3" t="s">
        <v>54</v>
      </c>
      <c r="CB35" s="3">
        <v>43051.53</v>
      </c>
      <c r="CC35">
        <v>125</v>
      </c>
      <c r="CD35" s="5">
        <v>5381441.25</v>
      </c>
      <c r="CE35" t="s">
        <v>364</v>
      </c>
      <c r="CF35" t="s">
        <v>365</v>
      </c>
      <c r="CG35" s="3"/>
      <c r="CH35" s="3"/>
      <c r="CJ35" s="5"/>
      <c r="CM35" s="3"/>
      <c r="CN35" s="3"/>
      <c r="CP35" s="5"/>
      <c r="CS35" s="3"/>
      <c r="CT35" s="3"/>
      <c r="CV35" s="5"/>
      <c r="CY35" s="3"/>
      <c r="CZ35" s="3"/>
      <c r="DB35" s="5"/>
      <c r="DE35" s="3"/>
      <c r="DF35" s="3"/>
      <c r="DH35" s="5"/>
      <c r="DK35" s="3"/>
      <c r="DL35" s="3"/>
      <c r="DN35" s="5"/>
      <c r="DQ35" s="3"/>
      <c r="DR35" s="3"/>
      <c r="DT35" s="5"/>
      <c r="DW35" s="3" t="s">
        <v>54</v>
      </c>
      <c r="DX35" s="3">
        <v>59000</v>
      </c>
      <c r="DY35">
        <v>125</v>
      </c>
      <c r="DZ35" s="5">
        <v>7375000</v>
      </c>
      <c r="EA35" s="4" t="s">
        <v>366</v>
      </c>
      <c r="EB35" t="s">
        <v>367</v>
      </c>
      <c r="EC35" s="3" t="s">
        <v>54</v>
      </c>
      <c r="ED35" s="3">
        <v>46262</v>
      </c>
      <c r="EE35">
        <v>125</v>
      </c>
      <c r="EF35" s="5">
        <v>5782750</v>
      </c>
      <c r="EG35" s="4" t="s">
        <v>368</v>
      </c>
      <c r="EH35" t="s">
        <v>369</v>
      </c>
      <c r="EI35" s="3" t="s">
        <v>54</v>
      </c>
      <c r="EJ35" s="3">
        <v>30440</v>
      </c>
      <c r="EK35">
        <v>125</v>
      </c>
      <c r="EL35" s="5">
        <v>3805000</v>
      </c>
      <c r="EM35" t="s">
        <v>370</v>
      </c>
      <c r="EN35" t="s">
        <v>371</v>
      </c>
      <c r="EO35" s="3" t="s">
        <v>54</v>
      </c>
      <c r="EP35" s="3">
        <v>29697</v>
      </c>
      <c r="EQ35">
        <v>125</v>
      </c>
      <c r="ER35" s="5">
        <v>3712125</v>
      </c>
      <c r="ES35" s="4" t="s">
        <v>372</v>
      </c>
      <c r="ET35" t="s">
        <v>373</v>
      </c>
      <c r="EU35" s="3"/>
      <c r="EV35" s="3"/>
      <c r="EX35" s="5"/>
      <c r="FA35" s="3"/>
      <c r="FB35" s="3"/>
      <c r="FD35" s="5"/>
      <c r="FG35" s="3" t="s">
        <v>54</v>
      </c>
      <c r="FH35" s="3">
        <v>39600</v>
      </c>
      <c r="FI35">
        <v>125</v>
      </c>
      <c r="FJ35" s="5">
        <v>4950000</v>
      </c>
      <c r="FK35" s="4" t="s">
        <v>374</v>
      </c>
      <c r="FL35" t="s">
        <v>375</v>
      </c>
      <c r="FM35" s="3"/>
      <c r="FN35" s="3"/>
      <c r="FP35" s="5"/>
    </row>
    <row r="36" spans="1:174" ht="57.6" x14ac:dyDescent="0.3">
      <c r="A36" t="s">
        <v>376</v>
      </c>
      <c r="B36" t="s">
        <v>50</v>
      </c>
      <c r="C36" t="s">
        <v>377</v>
      </c>
      <c r="D36" s="4" t="s">
        <v>378</v>
      </c>
      <c r="E36">
        <v>500</v>
      </c>
      <c r="F36" t="s">
        <v>53</v>
      </c>
      <c r="G36" s="3"/>
      <c r="H36" s="3"/>
      <c r="J36" s="5"/>
      <c r="M36" s="3" t="s">
        <v>54</v>
      </c>
      <c r="N36" s="3">
        <v>1399</v>
      </c>
      <c r="O36">
        <v>500</v>
      </c>
      <c r="P36" s="5">
        <v>699500</v>
      </c>
      <c r="Q36" t="s">
        <v>379</v>
      </c>
      <c r="R36" t="s">
        <v>380</v>
      </c>
      <c r="S36" s="3" t="s">
        <v>54</v>
      </c>
      <c r="T36" s="3">
        <v>3113</v>
      </c>
      <c r="U36">
        <v>500</v>
      </c>
      <c r="V36" s="5">
        <v>1556500</v>
      </c>
      <c r="W36" s="4" t="s">
        <v>381</v>
      </c>
      <c r="X36" t="s">
        <v>382</v>
      </c>
      <c r="Y36" s="3" t="s">
        <v>54</v>
      </c>
      <c r="Z36" s="3">
        <v>1196.9000000000001</v>
      </c>
      <c r="AA36">
        <v>500</v>
      </c>
      <c r="AB36" s="5">
        <v>598450</v>
      </c>
      <c r="AC36" s="4" t="s">
        <v>383</v>
      </c>
      <c r="AD36" t="s">
        <v>384</v>
      </c>
      <c r="AE36" s="3"/>
      <c r="AF36" s="3"/>
      <c r="AH36" s="5"/>
      <c r="AK36" s="3"/>
      <c r="AL36" s="3"/>
      <c r="AN36" s="5"/>
      <c r="AQ36" s="3"/>
      <c r="AR36" s="3"/>
      <c r="AT36" s="5"/>
      <c r="AW36" s="3"/>
      <c r="AX36" s="3"/>
      <c r="AZ36" s="5"/>
      <c r="BC36" s="3"/>
      <c r="BD36" s="3"/>
      <c r="BF36" s="5"/>
      <c r="BI36" s="3" t="s">
        <v>54</v>
      </c>
      <c r="BJ36" s="3">
        <v>1538.12</v>
      </c>
      <c r="BK36">
        <v>500</v>
      </c>
      <c r="BL36" s="5">
        <v>769060</v>
      </c>
      <c r="BM36" s="4" t="s">
        <v>385</v>
      </c>
      <c r="BN36" t="s">
        <v>386</v>
      </c>
      <c r="BO36" s="3"/>
      <c r="BP36" s="3"/>
      <c r="BR36" s="5"/>
      <c r="BU36" s="3"/>
      <c r="BV36" s="3"/>
      <c r="BX36" s="5"/>
      <c r="CA36" s="3" t="s">
        <v>54</v>
      </c>
      <c r="CB36" s="3">
        <v>1728.57</v>
      </c>
      <c r="CC36">
        <v>500</v>
      </c>
      <c r="CD36" s="5">
        <v>864285</v>
      </c>
      <c r="CE36" s="4" t="s">
        <v>387</v>
      </c>
      <c r="CF36" t="s">
        <v>388</v>
      </c>
      <c r="CG36" s="3"/>
      <c r="CH36" s="3"/>
      <c r="CJ36" s="5"/>
      <c r="CM36" s="3"/>
      <c r="CN36" s="3"/>
      <c r="CP36" s="5"/>
      <c r="CS36" s="3"/>
      <c r="CT36" s="3"/>
      <c r="CV36" s="5"/>
      <c r="CY36" s="3"/>
      <c r="CZ36" s="3"/>
      <c r="DB36" s="5"/>
      <c r="DE36" s="3"/>
      <c r="DF36" s="3"/>
      <c r="DH36" s="5"/>
      <c r="DK36" s="3"/>
      <c r="DL36" s="3"/>
      <c r="DN36" s="5"/>
      <c r="DQ36" s="3"/>
      <c r="DR36" s="3"/>
      <c r="DT36" s="5"/>
      <c r="DW36" s="3"/>
      <c r="DX36" s="3"/>
      <c r="DZ36" s="5"/>
      <c r="EC36" s="3"/>
      <c r="ED36" s="3"/>
      <c r="EF36" s="5"/>
      <c r="EI36" s="3"/>
      <c r="EJ36" s="3"/>
      <c r="EL36" s="5"/>
      <c r="EO36" s="3"/>
      <c r="EP36" s="3"/>
      <c r="ER36" s="5"/>
      <c r="EU36" s="3"/>
      <c r="EV36" s="3"/>
      <c r="EX36" s="5"/>
      <c r="FA36" s="3"/>
      <c r="FB36" s="3"/>
      <c r="FD36" s="5"/>
      <c r="FG36" s="3"/>
      <c r="FH36" s="3"/>
      <c r="FJ36" s="5"/>
      <c r="FM36" s="3"/>
      <c r="FN36" s="3"/>
      <c r="FP36" s="5"/>
    </row>
    <row r="37" spans="1:174" ht="72" x14ac:dyDescent="0.3">
      <c r="A37" t="s">
        <v>376</v>
      </c>
      <c r="B37" t="s">
        <v>63</v>
      </c>
      <c r="C37" t="s">
        <v>377</v>
      </c>
      <c r="D37" s="4" t="s">
        <v>378</v>
      </c>
      <c r="E37">
        <v>500</v>
      </c>
      <c r="F37" t="s">
        <v>53</v>
      </c>
      <c r="G37" s="3"/>
      <c r="H37" s="3"/>
      <c r="J37" s="5"/>
      <c r="M37" s="3"/>
      <c r="N37" s="3"/>
      <c r="P37" s="5"/>
      <c r="S37" s="3" t="s">
        <v>54</v>
      </c>
      <c r="T37" s="3">
        <v>4025</v>
      </c>
      <c r="U37">
        <v>500</v>
      </c>
      <c r="V37" s="5">
        <v>2012500</v>
      </c>
      <c r="W37" s="4" t="s">
        <v>389</v>
      </c>
      <c r="X37" t="s">
        <v>390</v>
      </c>
      <c r="Y37" s="3"/>
      <c r="Z37" s="3"/>
      <c r="AB37" s="5"/>
      <c r="AE37" s="3"/>
      <c r="AF37" s="3"/>
      <c r="AH37" s="5"/>
      <c r="AK37" s="3"/>
      <c r="AL37" s="3"/>
      <c r="AN37" s="5"/>
      <c r="AQ37" s="3"/>
      <c r="AR37" s="3"/>
      <c r="AT37" s="5"/>
      <c r="AW37" s="3"/>
      <c r="AX37" s="3"/>
      <c r="AZ37" s="5"/>
      <c r="BC37" s="3"/>
      <c r="BD37" s="3"/>
      <c r="BF37" s="5"/>
      <c r="BI37" s="3"/>
      <c r="BJ37" s="3"/>
      <c r="BL37" s="5"/>
      <c r="BO37" s="3"/>
      <c r="BP37" s="3"/>
      <c r="BR37" s="5"/>
      <c r="BU37" s="3"/>
      <c r="BV37" s="3"/>
      <c r="BX37" s="5"/>
      <c r="CA37" s="3"/>
      <c r="CB37" s="3"/>
      <c r="CD37" s="5"/>
      <c r="CG37" s="3"/>
      <c r="CH37" s="3"/>
      <c r="CJ37" s="5"/>
      <c r="CM37" s="3"/>
      <c r="CN37" s="3"/>
      <c r="CP37" s="5"/>
      <c r="CS37" s="3"/>
      <c r="CT37" s="3"/>
      <c r="CV37" s="5"/>
      <c r="CY37" s="3"/>
      <c r="CZ37" s="3"/>
      <c r="DB37" s="5"/>
      <c r="DE37" s="3"/>
      <c r="DF37" s="3"/>
      <c r="DH37" s="5"/>
      <c r="DK37" s="3"/>
      <c r="DL37" s="3"/>
      <c r="DN37" s="5"/>
      <c r="DQ37" s="3"/>
      <c r="DR37" s="3"/>
      <c r="DT37" s="5"/>
      <c r="DW37" s="3"/>
      <c r="DX37" s="3"/>
      <c r="DZ37" s="5"/>
      <c r="EC37" s="3"/>
      <c r="ED37" s="3"/>
      <c r="EF37" s="5"/>
      <c r="EI37" s="3"/>
      <c r="EJ37" s="3"/>
      <c r="EL37" s="5"/>
      <c r="EO37" s="3"/>
      <c r="EP37" s="3"/>
      <c r="ER37" s="5"/>
      <c r="EU37" s="3"/>
      <c r="EV37" s="3"/>
      <c r="EX37" s="5"/>
      <c r="FA37" s="3"/>
      <c r="FB37" s="3"/>
      <c r="FD37" s="5"/>
      <c r="FG37" s="3"/>
      <c r="FH37" s="3"/>
      <c r="FJ37" s="5"/>
      <c r="FM37" s="3"/>
      <c r="FN37" s="3"/>
      <c r="FP37" s="5"/>
    </row>
    <row r="38" spans="1:174" ht="158.4" x14ac:dyDescent="0.3">
      <c r="A38" t="s">
        <v>391</v>
      </c>
      <c r="B38" t="s">
        <v>50</v>
      </c>
      <c r="C38" t="s">
        <v>392</v>
      </c>
      <c r="D38" s="4" t="s">
        <v>393</v>
      </c>
      <c r="E38">
        <v>750</v>
      </c>
      <c r="F38" t="s">
        <v>66</v>
      </c>
      <c r="G38" s="3"/>
      <c r="H38" s="3"/>
      <c r="J38" s="5"/>
      <c r="M38" s="3" t="s">
        <v>54</v>
      </c>
      <c r="N38" s="3">
        <v>1705</v>
      </c>
      <c r="O38">
        <v>750</v>
      </c>
      <c r="P38" s="5">
        <v>1278750</v>
      </c>
      <c r="Q38" s="4" t="s">
        <v>394</v>
      </c>
      <c r="R38" t="s">
        <v>395</v>
      </c>
      <c r="S38" s="3"/>
      <c r="T38" s="3"/>
      <c r="V38" s="5"/>
      <c r="Y38" s="3" t="s">
        <v>54</v>
      </c>
      <c r="Z38" s="3">
        <v>2194.9</v>
      </c>
      <c r="AA38">
        <v>500</v>
      </c>
      <c r="AB38" s="5">
        <v>1097450</v>
      </c>
      <c r="AC38" s="4" t="s">
        <v>396</v>
      </c>
      <c r="AD38" t="s">
        <v>397</v>
      </c>
      <c r="AE38" s="3" t="s">
        <v>54</v>
      </c>
      <c r="AF38" s="3">
        <v>6500</v>
      </c>
      <c r="AG38">
        <v>750</v>
      </c>
      <c r="AH38" s="5">
        <v>4875000</v>
      </c>
      <c r="AI38" t="s">
        <v>398</v>
      </c>
      <c r="AJ38" t="s">
        <v>399</v>
      </c>
      <c r="AK38" s="3" t="s">
        <v>54</v>
      </c>
      <c r="AL38" s="3">
        <v>12512.73</v>
      </c>
      <c r="AM38">
        <v>750</v>
      </c>
      <c r="AN38" s="5">
        <v>9384547.5</v>
      </c>
      <c r="AO38" s="4" t="s">
        <v>400</v>
      </c>
      <c r="AP38" t="s">
        <v>401</v>
      </c>
      <c r="AQ38" s="3"/>
      <c r="AR38" s="3"/>
      <c r="AT38" s="5"/>
      <c r="AW38" s="3" t="s">
        <v>54</v>
      </c>
      <c r="AX38" s="3">
        <v>2990</v>
      </c>
      <c r="AY38">
        <v>750</v>
      </c>
      <c r="AZ38" s="5">
        <v>2242500</v>
      </c>
      <c r="BA38" s="4" t="s">
        <v>402</v>
      </c>
      <c r="BB38" t="s">
        <v>403</v>
      </c>
      <c r="BC38" s="3" t="s">
        <v>54</v>
      </c>
      <c r="BD38" s="3">
        <v>3996</v>
      </c>
      <c r="BE38">
        <v>750</v>
      </c>
      <c r="BF38" s="5">
        <v>2997000</v>
      </c>
      <c r="BG38" t="s">
        <v>404</v>
      </c>
      <c r="BH38" t="s">
        <v>405</v>
      </c>
      <c r="BI38" s="3" t="s">
        <v>54</v>
      </c>
      <c r="BJ38" s="3">
        <v>2747.98</v>
      </c>
      <c r="BK38">
        <v>750</v>
      </c>
      <c r="BL38" s="5">
        <v>2060985</v>
      </c>
      <c r="BM38" s="4" t="s">
        <v>406</v>
      </c>
      <c r="BN38" t="s">
        <v>407</v>
      </c>
      <c r="BO38" s="3"/>
      <c r="BP38" s="3"/>
      <c r="BR38" s="5"/>
      <c r="BU38" s="3"/>
      <c r="BV38" s="3"/>
      <c r="BX38" s="5"/>
      <c r="CA38" s="3"/>
      <c r="CB38" s="3"/>
      <c r="CD38" s="5"/>
      <c r="CG38" s="3"/>
      <c r="CH38" s="3"/>
      <c r="CJ38" s="5"/>
      <c r="CM38" s="3"/>
      <c r="CN38" s="3"/>
      <c r="CP38" s="5"/>
      <c r="CS38" s="3"/>
      <c r="CT38" s="3"/>
      <c r="CV38" s="5"/>
      <c r="CY38" s="3"/>
      <c r="CZ38" s="3"/>
      <c r="DB38" s="5"/>
      <c r="DE38" s="3" t="s">
        <v>54</v>
      </c>
      <c r="DF38" s="3">
        <v>8366.1</v>
      </c>
      <c r="DG38">
        <v>750</v>
      </c>
      <c r="DH38" s="5">
        <v>6274575</v>
      </c>
      <c r="DI38" s="4" t="s">
        <v>408</v>
      </c>
      <c r="DJ38" t="s">
        <v>409</v>
      </c>
      <c r="DK38" s="3"/>
      <c r="DL38" s="3"/>
      <c r="DN38" s="5"/>
      <c r="DQ38" s="3"/>
      <c r="DR38" s="3"/>
      <c r="DT38" s="5"/>
      <c r="DW38" s="3"/>
      <c r="DX38" s="3"/>
      <c r="DZ38" s="5"/>
      <c r="EC38" s="3"/>
      <c r="ED38" s="3"/>
      <c r="EF38" s="5"/>
      <c r="EI38" s="3"/>
      <c r="EJ38" s="3"/>
      <c r="EL38" s="5"/>
      <c r="EO38" s="3"/>
      <c r="EP38" s="3"/>
      <c r="ER38" s="5"/>
      <c r="EU38" s="3"/>
      <c r="EV38" s="3"/>
      <c r="EX38" s="5"/>
      <c r="FA38" s="3"/>
      <c r="FB38" s="3"/>
      <c r="FD38" s="5"/>
      <c r="FG38" s="3"/>
      <c r="FH38" s="3"/>
      <c r="FJ38" s="5"/>
      <c r="FM38" s="3"/>
      <c r="FN38" s="3"/>
      <c r="FP38" s="5"/>
    </row>
    <row r="39" spans="1:174" ht="72" x14ac:dyDescent="0.3">
      <c r="A39" t="s">
        <v>410</v>
      </c>
      <c r="B39" t="s">
        <v>50</v>
      </c>
      <c r="C39" t="s">
        <v>411</v>
      </c>
      <c r="D39" s="4" t="s">
        <v>412</v>
      </c>
      <c r="E39">
        <v>80</v>
      </c>
      <c r="F39" t="s">
        <v>66</v>
      </c>
      <c r="G39" s="3"/>
      <c r="H39" s="3"/>
      <c r="J39" s="5"/>
      <c r="M39" s="3" t="s">
        <v>54</v>
      </c>
      <c r="N39" s="3">
        <v>4803</v>
      </c>
      <c r="O39">
        <v>80</v>
      </c>
      <c r="P39" s="5">
        <v>384240</v>
      </c>
      <c r="Q39" s="4" t="s">
        <v>413</v>
      </c>
      <c r="R39" t="s">
        <v>414</v>
      </c>
      <c r="S39" s="3"/>
      <c r="T39" s="3"/>
      <c r="V39" s="5"/>
      <c r="Y39" s="3"/>
      <c r="Z39" s="3"/>
      <c r="AB39" s="5"/>
      <c r="AE39" s="3"/>
      <c r="AF39" s="3"/>
      <c r="AH39" s="5"/>
      <c r="AK39" s="3"/>
      <c r="AL39" s="3"/>
      <c r="AN39" s="5"/>
      <c r="AQ39" s="3"/>
      <c r="AR39" s="3"/>
      <c r="AT39" s="5"/>
      <c r="AW39" s="3"/>
      <c r="AX39" s="3"/>
      <c r="AZ39" s="5"/>
      <c r="BC39" s="3" t="s">
        <v>54</v>
      </c>
      <c r="BD39" s="3">
        <v>8299</v>
      </c>
      <c r="BE39">
        <v>80</v>
      </c>
      <c r="BF39" s="5">
        <v>663920</v>
      </c>
      <c r="BG39" s="4" t="s">
        <v>415</v>
      </c>
      <c r="BH39" t="s">
        <v>416</v>
      </c>
      <c r="BI39" s="3" t="s">
        <v>54</v>
      </c>
      <c r="BJ39" s="3">
        <v>5843.96</v>
      </c>
      <c r="BK39">
        <v>80</v>
      </c>
      <c r="BL39" s="5">
        <v>467516.8</v>
      </c>
      <c r="BM39" s="4" t="s">
        <v>417</v>
      </c>
      <c r="BN39" t="s">
        <v>418</v>
      </c>
      <c r="BO39" s="3"/>
      <c r="BP39" s="3"/>
      <c r="BR39" s="5"/>
      <c r="BU39" s="3"/>
      <c r="BV39" s="3"/>
      <c r="BX39" s="5"/>
      <c r="CA39" s="3"/>
      <c r="CB39" s="3"/>
      <c r="CD39" s="5"/>
      <c r="CG39" s="3"/>
      <c r="CH39" s="3"/>
      <c r="CJ39" s="5"/>
      <c r="CM39" s="3" t="s">
        <v>54</v>
      </c>
      <c r="CN39" s="3">
        <v>9046</v>
      </c>
      <c r="CO39">
        <v>80</v>
      </c>
      <c r="CP39" s="5">
        <v>723680</v>
      </c>
      <c r="CQ39" s="4" t="s">
        <v>419</v>
      </c>
      <c r="CR39" t="s">
        <v>420</v>
      </c>
      <c r="CS39" s="3"/>
      <c r="CT39" s="3"/>
      <c r="CV39" s="5"/>
      <c r="CY39" s="3"/>
      <c r="CZ39" s="3"/>
      <c r="DB39" s="5"/>
      <c r="DE39" s="3"/>
      <c r="DF39" s="3"/>
      <c r="DH39" s="5"/>
      <c r="DK39" s="3"/>
      <c r="DL39" s="3"/>
      <c r="DN39" s="5"/>
      <c r="DQ39" s="3"/>
      <c r="DR39" s="3"/>
      <c r="DT39" s="5"/>
      <c r="DW39" s="3"/>
      <c r="DX39" s="3"/>
      <c r="DZ39" s="5"/>
      <c r="EC39" s="3"/>
      <c r="ED39" s="3"/>
      <c r="EF39" s="5"/>
      <c r="EI39" s="3"/>
      <c r="EJ39" s="3"/>
      <c r="EL39" s="5"/>
      <c r="EO39" s="3"/>
      <c r="EP39" s="3"/>
      <c r="ER39" s="5"/>
      <c r="EU39" s="3"/>
      <c r="EV39" s="3"/>
      <c r="EX39" s="5"/>
      <c r="FA39" s="3"/>
      <c r="FB39" s="3"/>
      <c r="FD39" s="5"/>
      <c r="FG39" s="3"/>
      <c r="FH39" s="3"/>
      <c r="FJ39" s="5"/>
      <c r="FM39" s="3" t="s">
        <v>54</v>
      </c>
      <c r="FN39" s="3">
        <v>5500</v>
      </c>
      <c r="FO39">
        <v>80</v>
      </c>
      <c r="FP39" s="5">
        <v>440000</v>
      </c>
      <c r="FQ39" s="4" t="s">
        <v>421</v>
      </c>
      <c r="FR39" t="s">
        <v>422</v>
      </c>
    </row>
    <row r="40" spans="1:174" ht="43.2" x14ac:dyDescent="0.3">
      <c r="A40" t="s">
        <v>423</v>
      </c>
      <c r="B40" t="s">
        <v>50</v>
      </c>
      <c r="C40" t="s">
        <v>424</v>
      </c>
      <c r="D40" s="4" t="s">
        <v>425</v>
      </c>
      <c r="E40">
        <v>200</v>
      </c>
      <c r="F40" t="s">
        <v>53</v>
      </c>
      <c r="G40" s="3"/>
      <c r="H40" s="3"/>
      <c r="J40" s="5"/>
      <c r="M40" s="3"/>
      <c r="N40" s="3"/>
      <c r="P40" s="5"/>
      <c r="S40" s="3"/>
      <c r="T40" s="3"/>
      <c r="V40" s="5"/>
      <c r="Y40" s="3"/>
      <c r="Z40" s="3"/>
      <c r="AB40" s="5"/>
      <c r="AE40" s="3"/>
      <c r="AF40" s="3"/>
      <c r="AH40" s="5"/>
      <c r="AK40" s="3" t="s">
        <v>54</v>
      </c>
      <c r="AL40" s="3">
        <v>991.32</v>
      </c>
      <c r="AM40">
        <v>200</v>
      </c>
      <c r="AN40" s="5">
        <v>198264</v>
      </c>
      <c r="AO40" t="s">
        <v>426</v>
      </c>
      <c r="AP40" t="s">
        <v>427</v>
      </c>
      <c r="AQ40" s="3"/>
      <c r="AR40" s="3"/>
      <c r="AT40" s="5"/>
      <c r="AW40" s="3" t="s">
        <v>54</v>
      </c>
      <c r="AX40" s="3">
        <v>1440</v>
      </c>
      <c r="AY40">
        <v>200</v>
      </c>
      <c r="AZ40" s="5">
        <v>288000</v>
      </c>
      <c r="BA40" t="s">
        <v>428</v>
      </c>
      <c r="BB40" t="s">
        <v>429</v>
      </c>
      <c r="BC40" s="3" t="s">
        <v>54</v>
      </c>
      <c r="BD40" s="3">
        <v>1966</v>
      </c>
      <c r="BE40">
        <v>200</v>
      </c>
      <c r="BF40" s="5">
        <v>393200</v>
      </c>
      <c r="BG40" s="4" t="s">
        <v>430</v>
      </c>
      <c r="BH40" t="s">
        <v>431</v>
      </c>
      <c r="BI40" s="3" t="s">
        <v>54</v>
      </c>
      <c r="BJ40" s="3">
        <v>1557.88</v>
      </c>
      <c r="BK40">
        <v>200</v>
      </c>
      <c r="BL40" s="5">
        <v>311576</v>
      </c>
      <c r="BM40" s="4" t="s">
        <v>432</v>
      </c>
      <c r="BN40" t="s">
        <v>433</v>
      </c>
      <c r="BO40" s="3"/>
      <c r="BP40" s="3"/>
      <c r="BR40" s="5"/>
      <c r="BU40" s="3"/>
      <c r="BV40" s="3"/>
      <c r="BX40" s="5"/>
      <c r="CA40" s="3" t="s">
        <v>54</v>
      </c>
      <c r="CB40" s="3">
        <v>1694</v>
      </c>
      <c r="CC40">
        <v>200</v>
      </c>
      <c r="CD40" s="5">
        <v>338800</v>
      </c>
      <c r="CE40" s="4" t="s">
        <v>434</v>
      </c>
      <c r="CF40" t="s">
        <v>435</v>
      </c>
      <c r="CG40" s="3"/>
      <c r="CH40" s="3"/>
      <c r="CJ40" s="5"/>
      <c r="CM40" s="3" t="s">
        <v>54</v>
      </c>
      <c r="CN40" s="3">
        <v>1625.5</v>
      </c>
      <c r="CO40">
        <v>200</v>
      </c>
      <c r="CP40" s="5">
        <v>325100</v>
      </c>
      <c r="CQ40" s="4" t="s">
        <v>436</v>
      </c>
      <c r="CR40" t="s">
        <v>437</v>
      </c>
      <c r="CS40" s="3"/>
      <c r="CT40" s="3"/>
      <c r="CV40" s="5"/>
      <c r="CY40" s="3"/>
      <c r="CZ40" s="3"/>
      <c r="DB40" s="5"/>
      <c r="DE40" s="3"/>
      <c r="DF40" s="3"/>
      <c r="DH40" s="5"/>
      <c r="DK40" s="3"/>
      <c r="DL40" s="3"/>
      <c r="DN40" s="5"/>
      <c r="DQ40" s="3"/>
      <c r="DR40" s="3"/>
      <c r="DT40" s="5"/>
      <c r="DW40" s="3"/>
      <c r="DX40" s="3"/>
      <c r="DZ40" s="5"/>
      <c r="EC40" s="3"/>
      <c r="ED40" s="3"/>
      <c r="EF40" s="5"/>
      <c r="EI40" s="3"/>
      <c r="EJ40" s="3"/>
      <c r="EL40" s="5"/>
      <c r="EO40" s="3"/>
      <c r="EP40" s="3"/>
      <c r="ER40" s="5"/>
      <c r="EU40" s="3"/>
      <c r="EV40" s="3"/>
      <c r="EX40" s="5"/>
      <c r="FA40" s="3"/>
      <c r="FB40" s="3"/>
      <c r="FD40" s="5"/>
      <c r="FG40" s="3"/>
      <c r="FH40" s="3"/>
      <c r="FJ40" s="5"/>
      <c r="FM40" s="3"/>
      <c r="FN40" s="3"/>
      <c r="FP40" s="5"/>
    </row>
    <row r="41" spans="1:174" ht="28.8" x14ac:dyDescent="0.3">
      <c r="A41" t="s">
        <v>438</v>
      </c>
      <c r="B41" t="s">
        <v>50</v>
      </c>
      <c r="C41" t="s">
        <v>439</v>
      </c>
      <c r="D41" t="s">
        <v>440</v>
      </c>
      <c r="E41">
        <v>16000</v>
      </c>
      <c r="F41" t="s">
        <v>53</v>
      </c>
      <c r="G41" s="3"/>
      <c r="H41" s="3"/>
      <c r="J41" s="5"/>
      <c r="M41" s="3"/>
      <c r="N41" s="3"/>
      <c r="P41" s="5"/>
      <c r="S41" s="3"/>
      <c r="T41" s="3"/>
      <c r="V41" s="5"/>
      <c r="Y41" s="3"/>
      <c r="Z41" s="3"/>
      <c r="AB41" s="5"/>
      <c r="AE41" s="3"/>
      <c r="AF41" s="3"/>
      <c r="AH41" s="5"/>
      <c r="AK41" s="3"/>
      <c r="AL41" s="3"/>
      <c r="AN41" s="5"/>
      <c r="AQ41" s="3" t="s">
        <v>54</v>
      </c>
      <c r="AR41" s="3">
        <v>5.42</v>
      </c>
      <c r="AS41">
        <v>16000</v>
      </c>
      <c r="AT41" s="5">
        <v>86720</v>
      </c>
      <c r="AU41" s="4" t="s">
        <v>441</v>
      </c>
      <c r="AV41" t="s">
        <v>442</v>
      </c>
      <c r="AW41" s="3"/>
      <c r="AX41" s="3"/>
      <c r="AZ41" s="5"/>
      <c r="BC41" s="3"/>
      <c r="BD41" s="3"/>
      <c r="BF41" s="5"/>
      <c r="BI41" s="3" t="s">
        <v>54</v>
      </c>
      <c r="BJ41" s="3">
        <v>8.42</v>
      </c>
      <c r="BK41">
        <v>16000</v>
      </c>
      <c r="BL41" s="5">
        <v>134720</v>
      </c>
      <c r="BM41" t="s">
        <v>443</v>
      </c>
      <c r="BN41" t="s">
        <v>444</v>
      </c>
      <c r="BO41" s="3"/>
      <c r="BP41" s="3"/>
      <c r="BR41" s="5"/>
      <c r="BU41" s="3" t="s">
        <v>54</v>
      </c>
      <c r="BV41" s="3">
        <v>12.5</v>
      </c>
      <c r="BW41">
        <v>16000</v>
      </c>
      <c r="BX41" s="5">
        <v>200000</v>
      </c>
      <c r="BY41" s="4" t="s">
        <v>445</v>
      </c>
      <c r="BZ41" t="s">
        <v>446</v>
      </c>
      <c r="CA41" s="3" t="s">
        <v>54</v>
      </c>
      <c r="CB41" s="3">
        <v>6.54</v>
      </c>
      <c r="CC41">
        <v>16000</v>
      </c>
      <c r="CD41" s="5">
        <v>104640</v>
      </c>
      <c r="CE41" s="4" t="s">
        <v>447</v>
      </c>
      <c r="CF41" t="s">
        <v>448</v>
      </c>
      <c r="CG41" s="3" t="s">
        <v>54</v>
      </c>
      <c r="CH41" s="3">
        <v>11.02</v>
      </c>
      <c r="CI41">
        <v>16000</v>
      </c>
      <c r="CJ41" s="5">
        <v>176320</v>
      </c>
      <c r="CK41" t="s">
        <v>449</v>
      </c>
      <c r="CL41" t="s">
        <v>450</v>
      </c>
      <c r="CM41" s="3" t="s">
        <v>54</v>
      </c>
      <c r="CN41" s="3">
        <v>22.2</v>
      </c>
      <c r="CO41">
        <v>16000</v>
      </c>
      <c r="CP41" s="5">
        <v>355200</v>
      </c>
      <c r="CQ41" s="4" t="s">
        <v>451</v>
      </c>
      <c r="CR41" t="s">
        <v>452</v>
      </c>
      <c r="CS41" s="3"/>
      <c r="CT41" s="3"/>
      <c r="CV41" s="5"/>
      <c r="CY41" s="3"/>
      <c r="CZ41" s="3"/>
      <c r="DB41" s="5"/>
      <c r="DE41" s="3"/>
      <c r="DF41" s="3"/>
      <c r="DH41" s="5"/>
      <c r="DK41" s="3"/>
      <c r="DL41" s="3"/>
      <c r="DN41" s="5"/>
      <c r="DQ41" s="3"/>
      <c r="DR41" s="3"/>
      <c r="DT41" s="5"/>
      <c r="DW41" s="3"/>
      <c r="DX41" s="3"/>
      <c r="DZ41" s="5"/>
      <c r="EC41" s="3"/>
      <c r="ED41" s="3"/>
      <c r="EF41" s="5"/>
      <c r="EI41" s="3"/>
      <c r="EJ41" s="3"/>
      <c r="EL41" s="5"/>
      <c r="EO41" s="3"/>
      <c r="EP41" s="3"/>
      <c r="ER41" s="5"/>
      <c r="EU41" s="3"/>
      <c r="EV41" s="3"/>
      <c r="EX41" s="5"/>
      <c r="FA41" s="3"/>
      <c r="FB41" s="3"/>
      <c r="FD41" s="5"/>
      <c r="FG41" s="3"/>
      <c r="FH41" s="3"/>
      <c r="FJ41" s="5"/>
      <c r="FM41" s="3"/>
      <c r="FN41" s="3"/>
      <c r="FP41" s="5"/>
    </row>
    <row r="42" spans="1:174" ht="57.6" x14ac:dyDescent="0.3">
      <c r="A42" t="s">
        <v>453</v>
      </c>
      <c r="B42" t="s">
        <v>50</v>
      </c>
      <c r="C42" t="s">
        <v>454</v>
      </c>
      <c r="D42" s="4" t="s">
        <v>455</v>
      </c>
      <c r="E42">
        <v>3000</v>
      </c>
      <c r="F42" t="s">
        <v>66</v>
      </c>
      <c r="G42" s="3"/>
      <c r="H42" s="3"/>
      <c r="J42" s="5"/>
      <c r="M42" s="3" t="s">
        <v>54</v>
      </c>
      <c r="N42" s="3">
        <v>333.9</v>
      </c>
      <c r="O42">
        <v>3000</v>
      </c>
      <c r="P42" s="5">
        <v>1001700</v>
      </c>
      <c r="Q42" t="s">
        <v>456</v>
      </c>
      <c r="R42" t="s">
        <v>457</v>
      </c>
      <c r="S42" s="3" t="s">
        <v>54</v>
      </c>
      <c r="T42" s="3">
        <v>430</v>
      </c>
      <c r="U42">
        <v>3000</v>
      </c>
      <c r="V42" s="5">
        <v>1290000</v>
      </c>
      <c r="W42" s="4" t="s">
        <v>458</v>
      </c>
      <c r="X42" t="s">
        <v>459</v>
      </c>
      <c r="Y42" s="3" t="s">
        <v>54</v>
      </c>
      <c r="Z42" s="3">
        <v>227.3</v>
      </c>
      <c r="AA42">
        <v>3000</v>
      </c>
      <c r="AB42" s="5">
        <v>681900</v>
      </c>
      <c r="AC42" s="4" t="s">
        <v>460</v>
      </c>
      <c r="AD42" t="s">
        <v>461</v>
      </c>
      <c r="AE42" s="3"/>
      <c r="AF42" s="3"/>
      <c r="AH42" s="5"/>
      <c r="AK42" s="3"/>
      <c r="AL42" s="3"/>
      <c r="AN42" s="5"/>
      <c r="AQ42" s="3"/>
      <c r="AR42" s="3"/>
      <c r="AT42" s="5"/>
      <c r="AW42" s="3"/>
      <c r="AX42" s="3"/>
      <c r="AZ42" s="5"/>
      <c r="BC42" s="3" t="s">
        <v>54</v>
      </c>
      <c r="BD42" s="3">
        <v>1796</v>
      </c>
      <c r="BE42">
        <v>3000</v>
      </c>
      <c r="BF42" s="5">
        <v>5388000</v>
      </c>
      <c r="BG42" s="4" t="s">
        <v>462</v>
      </c>
      <c r="BH42" t="s">
        <v>463</v>
      </c>
      <c r="BI42" s="3" t="s">
        <v>54</v>
      </c>
      <c r="BJ42" s="3">
        <v>319.64</v>
      </c>
      <c r="BK42">
        <v>3000</v>
      </c>
      <c r="BL42" s="5">
        <v>958920</v>
      </c>
      <c r="BM42" s="4" t="s">
        <v>464</v>
      </c>
      <c r="BN42" t="s">
        <v>465</v>
      </c>
      <c r="BO42" s="3"/>
      <c r="BP42" s="3"/>
      <c r="BR42" s="5"/>
      <c r="BU42" s="3"/>
      <c r="BV42" s="3"/>
      <c r="BX42" s="5"/>
      <c r="CA42" s="3"/>
      <c r="CB42" s="3"/>
      <c r="CD42" s="5"/>
      <c r="CG42" s="3"/>
      <c r="CH42" s="3"/>
      <c r="CJ42" s="5"/>
      <c r="CM42" s="3"/>
      <c r="CN42" s="3"/>
      <c r="CP42" s="5"/>
      <c r="CS42" s="3"/>
      <c r="CT42" s="3"/>
      <c r="CV42" s="5"/>
      <c r="CY42" s="3"/>
      <c r="CZ42" s="3"/>
      <c r="DB42" s="5"/>
      <c r="DE42" s="3"/>
      <c r="DF42" s="3"/>
      <c r="DH42" s="5"/>
      <c r="DK42" s="3"/>
      <c r="DL42" s="3"/>
      <c r="DN42" s="5"/>
      <c r="DQ42" s="3"/>
      <c r="DR42" s="3"/>
      <c r="DT42" s="5"/>
      <c r="DW42" s="3"/>
      <c r="DX42" s="3"/>
      <c r="DZ42" s="5"/>
      <c r="EC42" s="3"/>
      <c r="ED42" s="3"/>
      <c r="EF42" s="5"/>
      <c r="EI42" s="3"/>
      <c r="EJ42" s="3"/>
      <c r="EL42" s="5"/>
      <c r="EO42" s="3"/>
      <c r="EP42" s="3"/>
      <c r="ER42" s="5"/>
      <c r="EU42" s="3"/>
      <c r="EV42" s="3"/>
      <c r="EX42" s="5"/>
      <c r="FA42" s="3"/>
      <c r="FB42" s="3"/>
      <c r="FD42" s="5"/>
      <c r="FG42" s="3"/>
      <c r="FH42" s="3"/>
      <c r="FJ42" s="5"/>
      <c r="FM42" s="3"/>
      <c r="FN42" s="3"/>
      <c r="FP42" s="5"/>
    </row>
    <row r="43" spans="1:174" ht="43.2" x14ac:dyDescent="0.3">
      <c r="A43" t="s">
        <v>466</v>
      </c>
      <c r="B43" t="s">
        <v>50</v>
      </c>
      <c r="C43" t="s">
        <v>467</v>
      </c>
      <c r="D43" s="4" t="s">
        <v>468</v>
      </c>
      <c r="E43">
        <v>60000</v>
      </c>
      <c r="F43" t="s">
        <v>66</v>
      </c>
      <c r="G43" s="3"/>
      <c r="H43" s="3"/>
      <c r="J43" s="5"/>
      <c r="M43" s="3"/>
      <c r="N43" s="3"/>
      <c r="P43" s="5"/>
      <c r="S43" s="3" t="s">
        <v>54</v>
      </c>
      <c r="T43" s="3">
        <v>79.8</v>
      </c>
      <c r="U43">
        <v>60000</v>
      </c>
      <c r="V43" s="5">
        <v>4788000</v>
      </c>
      <c r="W43" s="4" t="s">
        <v>469</v>
      </c>
      <c r="X43" t="s">
        <v>470</v>
      </c>
      <c r="Y43" s="3" t="s">
        <v>54</v>
      </c>
      <c r="Z43" s="3">
        <v>31.88</v>
      </c>
      <c r="AA43">
        <v>60000</v>
      </c>
      <c r="AB43" s="5">
        <v>1912800</v>
      </c>
      <c r="AC43" s="4" t="s">
        <v>471</v>
      </c>
      <c r="AD43" t="s">
        <v>472</v>
      </c>
      <c r="AE43" s="3"/>
      <c r="AF43" s="3"/>
      <c r="AH43" s="5"/>
      <c r="AK43" s="3"/>
      <c r="AL43" s="3"/>
      <c r="AN43" s="5"/>
      <c r="AQ43" s="3" t="s">
        <v>54</v>
      </c>
      <c r="AR43" s="3">
        <v>26.58</v>
      </c>
      <c r="AS43">
        <v>60000</v>
      </c>
      <c r="AT43" s="5">
        <v>1594800</v>
      </c>
      <c r="AU43" s="4" t="s">
        <v>473</v>
      </c>
      <c r="AV43" t="s">
        <v>474</v>
      </c>
      <c r="AW43" s="3" t="s">
        <v>54</v>
      </c>
      <c r="AX43" s="3">
        <v>40</v>
      </c>
      <c r="AY43">
        <v>60000</v>
      </c>
      <c r="AZ43" s="5">
        <v>2400000</v>
      </c>
      <c r="BA43" t="s">
        <v>475</v>
      </c>
      <c r="BB43" t="s">
        <v>89</v>
      </c>
      <c r="BC43" s="3" t="s">
        <v>54</v>
      </c>
      <c r="BD43" s="3">
        <v>177</v>
      </c>
      <c r="BE43">
        <v>60000</v>
      </c>
      <c r="BF43" s="5">
        <v>10620000</v>
      </c>
      <c r="BG43" s="4" t="s">
        <v>476</v>
      </c>
      <c r="BH43" t="s">
        <v>477</v>
      </c>
      <c r="BI43" s="3" t="s">
        <v>54</v>
      </c>
      <c r="BJ43" s="3">
        <v>81.44</v>
      </c>
      <c r="BK43">
        <v>60000</v>
      </c>
      <c r="BL43" s="5">
        <v>4886400</v>
      </c>
      <c r="BM43" s="4" t="s">
        <v>478</v>
      </c>
      <c r="BN43" t="s">
        <v>479</v>
      </c>
      <c r="BO43" s="3"/>
      <c r="BP43" s="3"/>
      <c r="BR43" s="5"/>
      <c r="BU43" s="3" t="s">
        <v>54</v>
      </c>
      <c r="BV43" s="3">
        <v>37.9</v>
      </c>
      <c r="BW43">
        <v>60000</v>
      </c>
      <c r="BX43" s="5">
        <v>2274000</v>
      </c>
      <c r="BY43" s="4" t="s">
        <v>480</v>
      </c>
      <c r="BZ43" t="s">
        <v>481</v>
      </c>
      <c r="CA43" s="3" t="s">
        <v>54</v>
      </c>
      <c r="CB43" s="3">
        <v>32.869999999999997</v>
      </c>
      <c r="CC43">
        <v>60000</v>
      </c>
      <c r="CD43" s="5">
        <v>1972200</v>
      </c>
      <c r="CE43" s="4" t="s">
        <v>482</v>
      </c>
      <c r="CF43" t="s">
        <v>483</v>
      </c>
      <c r="CG43" s="3" t="s">
        <v>54</v>
      </c>
      <c r="CH43" s="3">
        <v>52.91</v>
      </c>
      <c r="CI43">
        <v>60000</v>
      </c>
      <c r="CJ43" s="5">
        <v>3174600</v>
      </c>
      <c r="CK43" t="s">
        <v>484</v>
      </c>
      <c r="CL43" t="s">
        <v>485</v>
      </c>
      <c r="CM43" s="3" t="s">
        <v>54</v>
      </c>
      <c r="CN43" s="3">
        <v>107.2</v>
      </c>
      <c r="CO43">
        <v>60000</v>
      </c>
      <c r="CP43" s="5">
        <v>6432000</v>
      </c>
      <c r="CQ43" s="4" t="s">
        <v>486</v>
      </c>
      <c r="CR43" t="s">
        <v>487</v>
      </c>
      <c r="CS43" s="3"/>
      <c r="CT43" s="3"/>
      <c r="CV43" s="5"/>
      <c r="CY43" s="3"/>
      <c r="CZ43" s="3"/>
      <c r="DB43" s="5"/>
      <c r="DE43" s="3"/>
      <c r="DF43" s="3"/>
      <c r="DH43" s="5"/>
      <c r="DK43" s="3"/>
      <c r="DL43" s="3"/>
      <c r="DN43" s="5"/>
      <c r="DQ43" s="3"/>
      <c r="DR43" s="3"/>
      <c r="DT43" s="5"/>
      <c r="DW43" s="3"/>
      <c r="DX43" s="3"/>
      <c r="DZ43" s="5"/>
      <c r="EC43" s="3"/>
      <c r="ED43" s="3"/>
      <c r="EF43" s="5"/>
      <c r="EI43" s="3"/>
      <c r="EJ43" s="3"/>
      <c r="EL43" s="5"/>
      <c r="EO43" s="3"/>
      <c r="EP43" s="3"/>
      <c r="ER43" s="5"/>
      <c r="EU43" s="3"/>
      <c r="EV43" s="3"/>
      <c r="EX43" s="5"/>
      <c r="FA43" s="3"/>
      <c r="FB43" s="3"/>
      <c r="FD43" s="5"/>
      <c r="FG43" s="3"/>
      <c r="FH43" s="3"/>
      <c r="FJ43" s="5"/>
      <c r="FM43" s="3"/>
      <c r="FN43" s="3"/>
      <c r="FP43" s="5"/>
    </row>
    <row r="44" spans="1:174" ht="28.8" x14ac:dyDescent="0.3">
      <c r="A44" t="s">
        <v>488</v>
      </c>
      <c r="B44" t="s">
        <v>50</v>
      </c>
      <c r="C44" t="s">
        <v>489</v>
      </c>
      <c r="D44" s="4" t="s">
        <v>490</v>
      </c>
      <c r="E44">
        <v>6</v>
      </c>
      <c r="F44" t="s">
        <v>66</v>
      </c>
      <c r="G44" s="3"/>
      <c r="H44" s="3"/>
      <c r="J44" s="5"/>
      <c r="M44" s="3"/>
      <c r="N44" s="3"/>
      <c r="P44" s="5"/>
      <c r="S44" s="3"/>
      <c r="T44" s="3"/>
      <c r="V44" s="5"/>
      <c r="Y44" s="3" t="s">
        <v>54</v>
      </c>
      <c r="Z44" s="3">
        <v>8719.9</v>
      </c>
      <c r="AA44">
        <v>6</v>
      </c>
      <c r="AB44" s="5">
        <v>52319.4</v>
      </c>
      <c r="AC44" s="4" t="s">
        <v>491</v>
      </c>
      <c r="AD44" t="s">
        <v>492</v>
      </c>
      <c r="AE44" s="3"/>
      <c r="AF44" s="3"/>
      <c r="AH44" s="5"/>
      <c r="AK44" s="3"/>
      <c r="AL44" s="3"/>
      <c r="AN44" s="5"/>
      <c r="AQ44" s="3"/>
      <c r="AR44" s="3"/>
      <c r="AT44" s="5"/>
      <c r="AW44" s="3"/>
      <c r="AX44" s="3"/>
      <c r="AZ44" s="5"/>
      <c r="BC44" s="3"/>
      <c r="BD44" s="3"/>
      <c r="BF44" s="5"/>
      <c r="BI44" s="3" t="s">
        <v>54</v>
      </c>
      <c r="BJ44" s="3">
        <v>16654.169999999998</v>
      </c>
      <c r="BK44">
        <v>6</v>
      </c>
      <c r="BL44" s="5">
        <v>99925.02</v>
      </c>
      <c r="BM44" s="4" t="s">
        <v>493</v>
      </c>
      <c r="BN44" t="s">
        <v>494</v>
      </c>
      <c r="BO44" s="3"/>
      <c r="BP44" s="3"/>
      <c r="BR44" s="5"/>
      <c r="BU44" s="3"/>
      <c r="BV44" s="3"/>
      <c r="BX44" s="5"/>
      <c r="CA44" s="3" t="s">
        <v>54</v>
      </c>
      <c r="CB44" s="3">
        <v>9943.2800000000007</v>
      </c>
      <c r="CC44">
        <v>6</v>
      </c>
      <c r="CD44" s="5">
        <v>59659.68</v>
      </c>
      <c r="CE44" t="s">
        <v>495</v>
      </c>
      <c r="CF44" t="s">
        <v>496</v>
      </c>
      <c r="CG44" s="3"/>
      <c r="CH44" s="3"/>
      <c r="CJ44" s="5"/>
      <c r="CM44" s="3"/>
      <c r="CN44" s="3"/>
      <c r="CP44" s="5"/>
      <c r="CS44" s="3"/>
      <c r="CT44" s="3"/>
      <c r="CV44" s="5"/>
      <c r="CY44" s="3"/>
      <c r="CZ44" s="3"/>
      <c r="DB44" s="5"/>
      <c r="DE44" s="3"/>
      <c r="DF44" s="3"/>
      <c r="DH44" s="5"/>
      <c r="DK44" s="3"/>
      <c r="DL44" s="3"/>
      <c r="DN44" s="5"/>
      <c r="DQ44" s="3"/>
      <c r="DR44" s="3"/>
      <c r="DT44" s="5"/>
      <c r="DW44" s="3"/>
      <c r="DX44" s="3"/>
      <c r="DZ44" s="5"/>
      <c r="EC44" s="3"/>
      <c r="ED44" s="3"/>
      <c r="EF44" s="5"/>
      <c r="EI44" s="3"/>
      <c r="EJ44" s="3"/>
      <c r="EL44" s="5"/>
      <c r="EO44" s="3"/>
      <c r="EP44" s="3"/>
      <c r="ER44" s="5"/>
      <c r="EU44" s="3"/>
      <c r="EV44" s="3"/>
      <c r="EX44" s="5"/>
      <c r="FA44" s="3"/>
      <c r="FB44" s="3"/>
      <c r="FD44" s="5"/>
      <c r="FG44" s="3"/>
      <c r="FH44" s="3"/>
      <c r="FJ44" s="5"/>
      <c r="FM44" s="3"/>
      <c r="FN44" s="3"/>
      <c r="FP44" s="5"/>
    </row>
    <row r="45" spans="1:174" ht="28.8" x14ac:dyDescent="0.3">
      <c r="A45" t="s">
        <v>497</v>
      </c>
      <c r="B45" t="s">
        <v>50</v>
      </c>
      <c r="C45" t="s">
        <v>498</v>
      </c>
      <c r="D45" s="4" t="s">
        <v>499</v>
      </c>
      <c r="E45">
        <v>1</v>
      </c>
      <c r="F45" t="s">
        <v>66</v>
      </c>
      <c r="G45" s="3"/>
      <c r="H45" s="3"/>
      <c r="J45" s="5"/>
      <c r="M45" s="3"/>
      <c r="N45" s="3"/>
      <c r="P45" s="5"/>
      <c r="S45" s="3"/>
      <c r="T45" s="3"/>
      <c r="V45" s="5"/>
      <c r="Y45" s="3"/>
      <c r="Z45" s="3"/>
      <c r="AB45" s="5"/>
      <c r="AE45" s="3"/>
      <c r="AF45" s="3"/>
      <c r="AH45" s="5"/>
      <c r="AK45" s="3"/>
      <c r="AL45" s="3"/>
      <c r="AN45" s="5"/>
      <c r="AQ45" s="3"/>
      <c r="AR45" s="3"/>
      <c r="AT45" s="5"/>
      <c r="AW45" s="3"/>
      <c r="AX45" s="3"/>
      <c r="AZ45" s="5"/>
      <c r="BC45" s="3"/>
      <c r="BD45" s="3"/>
      <c r="BF45" s="5"/>
      <c r="BI45" s="3"/>
      <c r="BJ45" s="3"/>
      <c r="BL45" s="5"/>
      <c r="BO45" s="3"/>
      <c r="BP45" s="3"/>
      <c r="BR45" s="5"/>
      <c r="BU45" s="3"/>
      <c r="BV45" s="3"/>
      <c r="BX45" s="5"/>
      <c r="CA45" s="3"/>
      <c r="CB45" s="3"/>
      <c r="CD45" s="5"/>
      <c r="CG45" s="3"/>
      <c r="CH45" s="3"/>
      <c r="CJ45" s="5"/>
      <c r="CM45" s="3" t="s">
        <v>54</v>
      </c>
      <c r="CN45" s="3">
        <v>125351.25</v>
      </c>
      <c r="CO45">
        <v>1</v>
      </c>
      <c r="CP45" s="5">
        <v>125351.25</v>
      </c>
      <c r="CQ45" s="4" t="s">
        <v>500</v>
      </c>
      <c r="CR45" t="s">
        <v>501</v>
      </c>
      <c r="CS45" s="3"/>
      <c r="CT45" s="3"/>
      <c r="CV45" s="5"/>
      <c r="CY45" s="3"/>
      <c r="CZ45" s="3"/>
      <c r="DB45" s="5"/>
      <c r="DE45" s="3"/>
      <c r="DF45" s="3"/>
      <c r="DH45" s="5"/>
      <c r="DK45" s="3"/>
      <c r="DL45" s="3"/>
      <c r="DN45" s="5"/>
      <c r="DQ45" s="3"/>
      <c r="DR45" s="3"/>
      <c r="DT45" s="5"/>
      <c r="DW45" s="3"/>
      <c r="DX45" s="3"/>
      <c r="DZ45" s="5"/>
      <c r="EC45" s="3"/>
      <c r="ED45" s="3"/>
      <c r="EF45" s="5"/>
      <c r="EI45" s="3"/>
      <c r="EJ45" s="3"/>
      <c r="EL45" s="5"/>
      <c r="EO45" s="3"/>
      <c r="EP45" s="3"/>
      <c r="ER45" s="5"/>
      <c r="EU45" s="3"/>
      <c r="EV45" s="3"/>
      <c r="EX45" s="5"/>
      <c r="FA45" s="3"/>
      <c r="FB45" s="3"/>
      <c r="FD45" s="5"/>
      <c r="FG45" s="3"/>
      <c r="FH45" s="3"/>
      <c r="FJ45" s="5"/>
      <c r="FM45" s="3"/>
      <c r="FN45" s="3"/>
      <c r="FP45" s="5"/>
    </row>
    <row r="46" spans="1:174" ht="28.8" x14ac:dyDescent="0.3">
      <c r="A46" t="s">
        <v>502</v>
      </c>
      <c r="B46" t="s">
        <v>50</v>
      </c>
      <c r="C46" t="s">
        <v>503</v>
      </c>
      <c r="D46" s="4" t="s">
        <v>504</v>
      </c>
      <c r="E46">
        <v>120</v>
      </c>
      <c r="F46" t="s">
        <v>53</v>
      </c>
      <c r="G46" s="3"/>
      <c r="H46" s="3"/>
      <c r="J46" s="5"/>
      <c r="M46" s="3"/>
      <c r="N46" s="3"/>
      <c r="P46" s="5"/>
      <c r="S46" s="3"/>
      <c r="T46" s="3"/>
      <c r="V46" s="5"/>
      <c r="Y46" s="3"/>
      <c r="Z46" s="3"/>
      <c r="AB46" s="5"/>
      <c r="AE46" s="3"/>
      <c r="AF46" s="3"/>
      <c r="AH46" s="5"/>
      <c r="AK46" s="3"/>
      <c r="AL46" s="3"/>
      <c r="AN46" s="5"/>
      <c r="AQ46" s="3"/>
      <c r="AR46" s="3"/>
      <c r="AT46" s="5"/>
      <c r="AW46" s="3"/>
      <c r="AX46" s="3"/>
      <c r="AZ46" s="5"/>
      <c r="BC46" s="3" t="s">
        <v>54</v>
      </c>
      <c r="BD46" s="3">
        <v>5888</v>
      </c>
      <c r="BE46">
        <v>120</v>
      </c>
      <c r="BF46" s="5">
        <v>706560</v>
      </c>
      <c r="BG46" s="4" t="s">
        <v>505</v>
      </c>
      <c r="BH46" t="s">
        <v>506</v>
      </c>
      <c r="BI46" s="3"/>
      <c r="BJ46" s="3"/>
      <c r="BL46" s="5"/>
      <c r="BO46" s="3"/>
      <c r="BP46" s="3"/>
      <c r="BR46" s="5"/>
      <c r="BU46" s="3"/>
      <c r="BV46" s="3"/>
      <c r="BX46" s="5"/>
      <c r="CA46" s="3"/>
      <c r="CB46" s="3"/>
      <c r="CD46" s="5"/>
      <c r="CG46" s="3"/>
      <c r="CH46" s="3"/>
      <c r="CJ46" s="5"/>
      <c r="CM46" s="3" t="s">
        <v>54</v>
      </c>
      <c r="CN46" s="3">
        <v>6400</v>
      </c>
      <c r="CO46">
        <v>120</v>
      </c>
      <c r="CP46" s="5">
        <v>768000</v>
      </c>
      <c r="CQ46" s="4" t="s">
        <v>507</v>
      </c>
      <c r="CR46" t="s">
        <v>508</v>
      </c>
      <c r="CS46" s="3"/>
      <c r="CT46" s="3"/>
      <c r="CV46" s="5"/>
      <c r="CY46" s="3"/>
      <c r="CZ46" s="3"/>
      <c r="DB46" s="5"/>
      <c r="DE46" s="3"/>
      <c r="DF46" s="3"/>
      <c r="DH46" s="5"/>
      <c r="DK46" s="3"/>
      <c r="DL46" s="3"/>
      <c r="DN46" s="5"/>
      <c r="DQ46" s="3"/>
      <c r="DR46" s="3"/>
      <c r="DT46" s="5"/>
      <c r="DW46" s="3"/>
      <c r="DX46" s="3"/>
      <c r="DZ46" s="5"/>
      <c r="EC46" s="3"/>
      <c r="ED46" s="3"/>
      <c r="EF46" s="5"/>
      <c r="EI46" s="3"/>
      <c r="EJ46" s="3"/>
      <c r="EL46" s="5"/>
      <c r="EO46" s="3"/>
      <c r="EP46" s="3"/>
      <c r="ER46" s="5"/>
      <c r="EU46" s="3"/>
      <c r="EV46" s="3"/>
      <c r="EX46" s="5"/>
      <c r="FA46" s="3"/>
      <c r="FB46" s="3"/>
      <c r="FD46" s="5"/>
      <c r="FG46" s="3"/>
      <c r="FH46" s="3"/>
      <c r="FJ46" s="5"/>
      <c r="FM46" s="3"/>
      <c r="FN46" s="3"/>
      <c r="FP46" s="5"/>
    </row>
    <row r="47" spans="1:174" ht="115.2" x14ac:dyDescent="0.3">
      <c r="A47" t="s">
        <v>509</v>
      </c>
      <c r="B47" t="s">
        <v>50</v>
      </c>
      <c r="C47" t="s">
        <v>510</v>
      </c>
      <c r="D47" s="4" t="s">
        <v>511</v>
      </c>
      <c r="E47">
        <v>900</v>
      </c>
      <c r="F47" t="s">
        <v>66</v>
      </c>
      <c r="G47" s="3"/>
      <c r="H47" s="3"/>
      <c r="J47" s="5"/>
      <c r="M47" s="3" t="s">
        <v>54</v>
      </c>
      <c r="N47" s="3">
        <v>7470</v>
      </c>
      <c r="O47">
        <v>900</v>
      </c>
      <c r="P47" s="5">
        <v>6723000</v>
      </c>
      <c r="Q47" t="s">
        <v>512</v>
      </c>
      <c r="R47" t="s">
        <v>513</v>
      </c>
      <c r="S47" s="3" t="s">
        <v>54</v>
      </c>
      <c r="T47" s="3">
        <v>13995</v>
      </c>
      <c r="U47">
        <v>900</v>
      </c>
      <c r="V47" s="5">
        <v>12595500</v>
      </c>
      <c r="W47" s="4" t="s">
        <v>514</v>
      </c>
      <c r="X47" t="s">
        <v>515</v>
      </c>
      <c r="Y47" s="3" t="s">
        <v>54</v>
      </c>
      <c r="Z47" s="3">
        <v>5345.2</v>
      </c>
      <c r="AA47">
        <v>450</v>
      </c>
      <c r="AB47" s="5">
        <v>2405340</v>
      </c>
      <c r="AC47" s="4" t="s">
        <v>516</v>
      </c>
      <c r="AD47" t="s">
        <v>517</v>
      </c>
      <c r="AE47" s="3"/>
      <c r="AF47" s="3"/>
      <c r="AH47" s="5"/>
      <c r="AK47" s="3"/>
      <c r="AL47" s="3"/>
      <c r="AN47" s="5"/>
      <c r="AQ47" s="3"/>
      <c r="AR47" s="3"/>
      <c r="AT47" s="5"/>
      <c r="AW47" s="3"/>
      <c r="AX47" s="3"/>
      <c r="AZ47" s="5"/>
      <c r="BC47" s="3"/>
      <c r="BD47" s="3"/>
      <c r="BF47" s="5"/>
      <c r="BI47" s="3"/>
      <c r="BJ47" s="3"/>
      <c r="BL47" s="5"/>
      <c r="BO47" s="3" t="s">
        <v>54</v>
      </c>
      <c r="BP47" s="3">
        <v>23045.200000000001</v>
      </c>
      <c r="BQ47">
        <v>900</v>
      </c>
      <c r="BR47" s="5">
        <v>20740680</v>
      </c>
      <c r="BS47" s="4" t="s">
        <v>518</v>
      </c>
      <c r="BT47" t="s">
        <v>519</v>
      </c>
      <c r="BU47" s="3"/>
      <c r="BV47" s="3"/>
      <c r="BX47" s="5"/>
      <c r="CA47" s="3"/>
      <c r="CB47" s="3"/>
      <c r="CD47" s="5"/>
      <c r="CG47" s="3"/>
      <c r="CH47" s="3"/>
      <c r="CJ47" s="5"/>
      <c r="CM47" s="3"/>
      <c r="CN47" s="3"/>
      <c r="CP47" s="5"/>
      <c r="CS47" s="3"/>
      <c r="CT47" s="3"/>
      <c r="CV47" s="5"/>
      <c r="CY47" s="3"/>
      <c r="CZ47" s="3"/>
      <c r="DB47" s="5"/>
      <c r="DE47" s="3"/>
      <c r="DF47" s="3"/>
      <c r="DH47" s="5"/>
      <c r="DK47" s="3"/>
      <c r="DL47" s="3"/>
      <c r="DN47" s="5"/>
      <c r="DQ47" s="3"/>
      <c r="DR47" s="3"/>
      <c r="DT47" s="5"/>
      <c r="DW47" s="3"/>
      <c r="DX47" s="3"/>
      <c r="DZ47" s="5"/>
      <c r="EC47" s="3"/>
      <c r="ED47" s="3"/>
      <c r="EF47" s="5"/>
      <c r="EI47" s="3"/>
      <c r="EJ47" s="3"/>
      <c r="EL47" s="5"/>
      <c r="EO47" s="3"/>
      <c r="EP47" s="3"/>
      <c r="ER47" s="5"/>
      <c r="EU47" s="3"/>
      <c r="EV47" s="3"/>
      <c r="EX47" s="5"/>
      <c r="FA47" s="3"/>
      <c r="FB47" s="3"/>
      <c r="FD47" s="5"/>
      <c r="FG47" s="3"/>
      <c r="FH47" s="3"/>
      <c r="FJ47" s="5"/>
      <c r="FM47" s="3"/>
      <c r="FN47" s="3"/>
      <c r="FP47" s="5"/>
    </row>
    <row r="48" spans="1:174" ht="100.8" x14ac:dyDescent="0.3">
      <c r="A48" t="s">
        <v>509</v>
      </c>
      <c r="B48" t="s">
        <v>63</v>
      </c>
      <c r="C48" t="s">
        <v>510</v>
      </c>
      <c r="D48" s="4" t="s">
        <v>511</v>
      </c>
      <c r="E48">
        <v>900</v>
      </c>
      <c r="F48" t="s">
        <v>66</v>
      </c>
      <c r="G48" s="3"/>
      <c r="H48" s="3"/>
      <c r="J48" s="5"/>
      <c r="M48" s="3"/>
      <c r="N48" s="3"/>
      <c r="P48" s="5"/>
      <c r="S48" s="3" t="s">
        <v>54</v>
      </c>
      <c r="T48" s="3">
        <v>13150</v>
      </c>
      <c r="U48">
        <v>900</v>
      </c>
      <c r="V48" s="5">
        <v>11835000</v>
      </c>
      <c r="W48" s="4" t="s">
        <v>520</v>
      </c>
      <c r="X48" t="s">
        <v>521</v>
      </c>
      <c r="Y48" s="3"/>
      <c r="Z48" s="3"/>
      <c r="AB48" s="5"/>
      <c r="AE48" s="3"/>
      <c r="AF48" s="3"/>
      <c r="AH48" s="5"/>
      <c r="AK48" s="3"/>
      <c r="AL48" s="3"/>
      <c r="AN48" s="5"/>
      <c r="AQ48" s="3"/>
      <c r="AR48" s="3"/>
      <c r="AT48" s="5"/>
      <c r="AW48" s="3"/>
      <c r="AX48" s="3"/>
      <c r="AZ48" s="5"/>
      <c r="BC48" s="3"/>
      <c r="BD48" s="3"/>
      <c r="BF48" s="5"/>
      <c r="BI48" s="3"/>
      <c r="BJ48" s="3"/>
      <c r="BL48" s="5"/>
      <c r="BO48" s="3"/>
      <c r="BP48" s="3"/>
      <c r="BR48" s="5"/>
      <c r="BU48" s="3"/>
      <c r="BV48" s="3"/>
      <c r="BX48" s="5"/>
      <c r="CA48" s="3"/>
      <c r="CB48" s="3"/>
      <c r="CD48" s="5"/>
      <c r="CG48" s="3"/>
      <c r="CH48" s="3"/>
      <c r="CJ48" s="5"/>
      <c r="CM48" s="3"/>
      <c r="CN48" s="3"/>
      <c r="CP48" s="5"/>
      <c r="CS48" s="3"/>
      <c r="CT48" s="3"/>
      <c r="CV48" s="5"/>
      <c r="CY48" s="3"/>
      <c r="CZ48" s="3"/>
      <c r="DB48" s="5"/>
      <c r="DE48" s="3"/>
      <c r="DF48" s="3"/>
      <c r="DH48" s="5"/>
      <c r="DK48" s="3"/>
      <c r="DL48" s="3"/>
      <c r="DN48" s="5"/>
      <c r="DQ48" s="3"/>
      <c r="DR48" s="3"/>
      <c r="DT48" s="5"/>
      <c r="DW48" s="3"/>
      <c r="DX48" s="3"/>
      <c r="DZ48" s="5"/>
      <c r="EC48" s="3"/>
      <c r="ED48" s="3"/>
      <c r="EF48" s="5"/>
      <c r="EI48" s="3"/>
      <c r="EJ48" s="3"/>
      <c r="EL48" s="5"/>
      <c r="EO48" s="3"/>
      <c r="EP48" s="3"/>
      <c r="ER48" s="5"/>
      <c r="EU48" s="3"/>
      <c r="EV48" s="3"/>
      <c r="EX48" s="5"/>
      <c r="FA48" s="3"/>
      <c r="FB48" s="3"/>
      <c r="FD48" s="5"/>
      <c r="FG48" s="3"/>
      <c r="FH48" s="3"/>
      <c r="FJ48" s="5"/>
      <c r="FM48" s="3"/>
      <c r="FN48" s="3"/>
      <c r="FP48" s="5"/>
    </row>
    <row r="49" spans="3:174" x14ac:dyDescent="0.3">
      <c r="C49" t="s">
        <v>522</v>
      </c>
      <c r="D49" s="4"/>
      <c r="G49" s="9"/>
      <c r="H49" s="9"/>
      <c r="I49" s="6"/>
      <c r="J49" s="8">
        <f>SUBTOTAL(109,Table2[Total por renglón])</f>
        <v>2676600</v>
      </c>
      <c r="K49" s="6"/>
      <c r="L49" s="6"/>
      <c r="M49" s="9"/>
      <c r="N49" s="9"/>
      <c r="O49" s="6"/>
      <c r="P49" s="8">
        <f>SUBTOTAL(109,Table3[Total por renglón])</f>
        <v>10951674</v>
      </c>
      <c r="Q49" s="6"/>
      <c r="R49" s="6"/>
      <c r="S49" s="9"/>
      <c r="T49" s="9"/>
      <c r="U49" s="6"/>
      <c r="V49" s="8">
        <f>SUBTOTAL(109,Table4[Total por renglón])</f>
        <v>49530550</v>
      </c>
      <c r="W49" s="7"/>
      <c r="X49" s="6"/>
      <c r="Y49" s="9"/>
      <c r="Z49" s="9"/>
      <c r="AA49" s="6"/>
      <c r="AB49" s="8">
        <f>SUBTOTAL(109,Table5[Total por renglón])</f>
        <v>36130831.399999999</v>
      </c>
      <c r="AC49" s="6"/>
      <c r="AD49" s="6"/>
      <c r="AE49" s="9"/>
      <c r="AF49" s="9"/>
      <c r="AG49" s="6"/>
      <c r="AH49" s="8">
        <f>SUBTOTAL(109,Table6[Total por renglón])</f>
        <v>5292180</v>
      </c>
      <c r="AI49" s="6"/>
      <c r="AJ49" s="6"/>
      <c r="AK49" s="9"/>
      <c r="AL49" s="9"/>
      <c r="AM49" s="6"/>
      <c r="AN49" s="8">
        <f>SUBTOTAL(109,Table7[Total por renglón])</f>
        <v>21377483.149999999</v>
      </c>
      <c r="AO49" s="6"/>
      <c r="AP49" s="6"/>
      <c r="AQ49" s="9"/>
      <c r="AR49" s="9"/>
      <c r="AS49" s="6"/>
      <c r="AT49" s="8">
        <f>SUBTOTAL(109,Table8[Total por renglón])</f>
        <v>2694333.4</v>
      </c>
      <c r="AU49" s="6"/>
      <c r="AV49" s="6"/>
      <c r="AW49" s="9"/>
      <c r="AX49" s="9"/>
      <c r="AY49" s="6"/>
      <c r="AZ49" s="8">
        <f>SUBTOTAL(109,Table9[Total por renglón])</f>
        <v>7427400</v>
      </c>
      <c r="BA49" s="6"/>
      <c r="BB49" s="6"/>
      <c r="BC49" s="9"/>
      <c r="BD49" s="9"/>
      <c r="BE49" s="6"/>
      <c r="BF49" s="8">
        <f>SUBTOTAL(109,Table10[Total por renglón])</f>
        <v>152321954</v>
      </c>
      <c r="BG49" s="6"/>
      <c r="BH49" s="6"/>
      <c r="BI49" s="9"/>
      <c r="BJ49" s="9"/>
      <c r="BK49" s="6"/>
      <c r="BL49" s="8">
        <f>SUBTOTAL(109,Table11[Total por renglón])</f>
        <v>17632466.82</v>
      </c>
      <c r="BM49" s="6"/>
      <c r="BN49" s="6"/>
      <c r="BO49" s="9"/>
      <c r="BP49" s="9"/>
      <c r="BQ49" s="6"/>
      <c r="BR49" s="8">
        <f>SUBTOTAL(109,Table12[Total por renglón])</f>
        <v>27189180</v>
      </c>
      <c r="BS49" s="6"/>
      <c r="BT49" s="6"/>
      <c r="BU49" s="9"/>
      <c r="BV49" s="9"/>
      <c r="BW49" s="6"/>
      <c r="BX49" s="8">
        <f>SUBTOTAL(109,Table13[Total por renglón])</f>
        <v>6342702</v>
      </c>
      <c r="BY49" s="6"/>
      <c r="BZ49" s="6"/>
      <c r="CA49" s="9"/>
      <c r="CB49" s="9"/>
      <c r="CC49" s="6"/>
      <c r="CD49" s="8">
        <f>SUBTOTAL(109,Table14[Total por renglón])</f>
        <v>28579328.329999998</v>
      </c>
      <c r="CE49" s="6"/>
      <c r="CF49" s="6"/>
      <c r="CG49" s="9"/>
      <c r="CH49" s="9"/>
      <c r="CI49" s="6"/>
      <c r="CJ49" s="8">
        <f>SUBTOTAL(109,Table15[Total por renglón])</f>
        <v>5556760</v>
      </c>
      <c r="CK49" s="6"/>
      <c r="CL49" s="6"/>
      <c r="CM49" s="9"/>
      <c r="CN49" s="9"/>
      <c r="CO49" s="6"/>
      <c r="CP49" s="8">
        <f>SUBTOTAL(109,Table16[Total por renglón])</f>
        <v>14836931.25</v>
      </c>
      <c r="CQ49" s="6"/>
      <c r="CR49" s="6"/>
      <c r="CS49" s="9"/>
      <c r="CT49" s="9"/>
      <c r="CU49" s="6"/>
      <c r="CV49" s="8">
        <f>SUBTOTAL(109,Table17[Total por renglón])</f>
        <v>3788800</v>
      </c>
      <c r="CW49" s="6"/>
      <c r="CX49" s="6"/>
      <c r="CY49" s="9"/>
      <c r="CZ49" s="9"/>
      <c r="DA49" s="6"/>
      <c r="DB49" s="8">
        <f>SUBTOTAL(109,Table18[Total por renglón])</f>
        <v>43380000</v>
      </c>
      <c r="DC49" s="6"/>
      <c r="DD49" s="6"/>
      <c r="DE49" s="9"/>
      <c r="DF49" s="9"/>
      <c r="DG49" s="6"/>
      <c r="DH49" s="8">
        <f>SUBTOTAL(109,Table19[Total por renglón])</f>
        <v>80669455</v>
      </c>
      <c r="DI49" s="6"/>
      <c r="DJ49" s="6"/>
      <c r="DK49" s="9"/>
      <c r="DL49" s="9"/>
      <c r="DM49" s="6"/>
      <c r="DN49" s="8">
        <f>SUBTOTAL(109,Table20[Total por renglón])</f>
        <v>25200000</v>
      </c>
      <c r="DO49" s="6"/>
      <c r="DP49" s="6"/>
      <c r="DQ49" s="9"/>
      <c r="DR49" s="9"/>
      <c r="DS49" s="6"/>
      <c r="DT49" s="8">
        <f>SUBTOTAL(109,Table21[Total por renglón])</f>
        <v>6420000</v>
      </c>
      <c r="DU49" s="6"/>
      <c r="DV49" s="6"/>
      <c r="DW49" s="9"/>
      <c r="DX49" s="9"/>
      <c r="DY49" s="6"/>
      <c r="DZ49" s="8">
        <f>SUBTOTAL(109,Table22[Total por renglón])</f>
        <v>16639000</v>
      </c>
      <c r="EA49" s="6"/>
      <c r="EB49" s="6"/>
      <c r="EC49" s="9"/>
      <c r="ED49" s="9"/>
      <c r="EE49" s="6"/>
      <c r="EF49" s="8">
        <f>SUBTOTAL(109,Table23[Total por renglón])</f>
        <v>9832750</v>
      </c>
      <c r="EG49" s="6"/>
      <c r="EH49" s="6"/>
      <c r="EI49" s="9"/>
      <c r="EJ49" s="9"/>
      <c r="EK49" s="6"/>
      <c r="EL49" s="8">
        <f>SUBTOTAL(109,Table24[Total por renglón])</f>
        <v>10424200</v>
      </c>
      <c r="EM49" s="6"/>
      <c r="EN49" s="6"/>
      <c r="EO49" s="9"/>
      <c r="EP49" s="9"/>
      <c r="EQ49" s="6"/>
      <c r="ER49" s="8">
        <f>SUBTOTAL(109,Table25[Total por renglón])</f>
        <v>6685725</v>
      </c>
      <c r="ES49" s="6"/>
      <c r="ET49" s="6"/>
      <c r="EU49" s="9"/>
      <c r="EV49" s="9"/>
      <c r="EW49" s="6"/>
      <c r="EX49" s="8">
        <f>SUBTOTAL(109,Table26[Total por renglón])</f>
        <v>3030000</v>
      </c>
      <c r="EY49" s="6"/>
      <c r="EZ49" s="6"/>
      <c r="FA49" s="9"/>
      <c r="FB49" s="9"/>
      <c r="FC49" s="6"/>
      <c r="FD49" s="8">
        <f>SUBTOTAL(109,Table27[Total por renglón])</f>
        <v>2591820</v>
      </c>
      <c r="FE49" s="6"/>
      <c r="FF49" s="6"/>
      <c r="FG49" s="9"/>
      <c r="FH49" s="9"/>
      <c r="FI49" s="6"/>
      <c r="FJ49" s="8">
        <f>SUBTOTAL(109,Table28[Total por renglón])</f>
        <v>8789400</v>
      </c>
      <c r="FK49" s="6"/>
      <c r="FL49" s="6"/>
      <c r="FM49" s="9"/>
      <c r="FN49" s="9"/>
      <c r="FO49" s="6"/>
      <c r="FP49" s="8">
        <f>SUBTOTAL(109,Table29[Total por renglón])</f>
        <v>440000</v>
      </c>
      <c r="FQ49" s="6"/>
      <c r="FR49" s="6"/>
    </row>
  </sheetData>
  <mergeCells count="29">
    <mergeCell ref="FA8:FF8"/>
    <mergeCell ref="FG8:FL8"/>
    <mergeCell ref="FM8:FR8"/>
    <mergeCell ref="A8:F8"/>
    <mergeCell ref="DW8:EB8"/>
    <mergeCell ref="EC8:EH8"/>
    <mergeCell ref="EI8:EN8"/>
    <mergeCell ref="EO8:ET8"/>
    <mergeCell ref="EU8:EZ8"/>
    <mergeCell ref="CS8:CX8"/>
    <mergeCell ref="CY8:DD8"/>
    <mergeCell ref="DE8:DJ8"/>
    <mergeCell ref="DK8:DP8"/>
    <mergeCell ref="DQ8:DV8"/>
    <mergeCell ref="BO8:BT8"/>
    <mergeCell ref="BU8:BZ8"/>
    <mergeCell ref="CA8:CF8"/>
    <mergeCell ref="CG8:CL8"/>
    <mergeCell ref="CM8:CR8"/>
    <mergeCell ref="AK8:AP8"/>
    <mergeCell ref="AQ8:AV8"/>
    <mergeCell ref="AW8:BB8"/>
    <mergeCell ref="BC8:BH8"/>
    <mergeCell ref="BI8:BN8"/>
    <mergeCell ref="G8:L8"/>
    <mergeCell ref="M8:R8"/>
    <mergeCell ref="S8:X8"/>
    <mergeCell ref="Y8:AD8"/>
    <mergeCell ref="AE8:AJ8"/>
  </mergeCells>
  <pageMargins left="0.75" right="0.75" top="0.75" bottom="0.5" header="0.5" footer="0.75"/>
  <tableParts count="2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e2af5e0-5924-4968-9aa4-6182b210cea3" xsi:nil="true"/>
    <lcf76f155ced4ddcb4097134ff3c332f xmlns="6bc9eae2-2737-46c7-85df-7aedc1cd0d8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38558C276962B41839B319C623BAFD4" ma:contentTypeVersion="10" ma:contentTypeDescription="Crear nuevo documento." ma:contentTypeScope="" ma:versionID="957e1e27714b91d15c9fa3a3b931c6e6">
  <xsd:schema xmlns:xsd="http://www.w3.org/2001/XMLSchema" xmlns:xs="http://www.w3.org/2001/XMLSchema" xmlns:p="http://schemas.microsoft.com/office/2006/metadata/properties" xmlns:ns2="6bc9eae2-2737-46c7-85df-7aedc1cd0d8c" xmlns:ns3="be2af5e0-5924-4968-9aa4-6182b210cea3" targetNamespace="http://schemas.microsoft.com/office/2006/metadata/properties" ma:root="true" ma:fieldsID="7fb5dddd4f13accaaf2bc183fa197cd6" ns2:_="" ns3:_="">
    <xsd:import namespace="6bc9eae2-2737-46c7-85df-7aedc1cd0d8c"/>
    <xsd:import namespace="be2af5e0-5924-4968-9aa4-6182b210ce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9eae2-2737-46c7-85df-7aedc1cd0d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c4e4569-165f-4e6d-becf-8e9e7eef16a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2af5e0-5924-4968-9aa4-6182b210cea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a30524e-ed0a-4ee8-947b-20906ab54eb7}" ma:internalName="TaxCatchAll" ma:showField="CatchAllData" ma:web="be2af5e0-5924-4968-9aa4-6182b210ce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64DFBA-D0D2-4F6F-B405-D4EDB429E94A}">
  <ds:schemaRefs>
    <ds:schemaRef ds:uri="http://schemas.microsoft.com/office/2006/metadata/properties"/>
    <ds:schemaRef ds:uri="http://schemas.microsoft.com/office/infopath/2007/PartnerControls"/>
    <ds:schemaRef ds:uri="be2af5e0-5924-4968-9aa4-6182b210cea3"/>
    <ds:schemaRef ds:uri="6bc9eae2-2737-46c7-85df-7aedc1cd0d8c"/>
  </ds:schemaRefs>
</ds:datastoreItem>
</file>

<file path=customXml/itemProps2.xml><?xml version="1.0" encoding="utf-8"?>
<ds:datastoreItem xmlns:ds="http://schemas.openxmlformats.org/officeDocument/2006/customXml" ds:itemID="{C4FB7B7E-FDB1-4B4B-A4AC-C09FC6BA1462}">
  <ds:schemaRefs>
    <ds:schemaRef ds:uri="http://schemas.microsoft.com/sharepoint/v3/contenttype/forms"/>
  </ds:schemaRefs>
</ds:datastoreItem>
</file>

<file path=customXml/itemProps3.xml><?xml version="1.0" encoding="utf-8"?>
<ds:datastoreItem xmlns:ds="http://schemas.openxmlformats.org/officeDocument/2006/customXml" ds:itemID="{62931ED8-6CB6-4D57-9779-404E8E0A13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c9eae2-2737-46c7-85df-7aedc1cd0d8c"/>
    <ds:schemaRef ds:uri="be2af5e0-5924-4968-9aa4-6182b210ce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ANDRES TORRES</cp:lastModifiedBy>
  <dcterms:created xsi:type="dcterms:W3CDTF">2025-10-15T15:23:57Z</dcterms:created>
  <dcterms:modified xsi:type="dcterms:W3CDTF">2025-10-22T19:26:57Z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0x010100738558C276962B41839B319C623BAFD4</vt:lpwstr>
  </property>
  <property fmtid="{D5CDD505-2E9C-101B-9397-08002B2CF9AE}" pid="3" name="MediaServiceImageTags">
    <vt:lpwstr/>
  </property>
</Properties>
</file>