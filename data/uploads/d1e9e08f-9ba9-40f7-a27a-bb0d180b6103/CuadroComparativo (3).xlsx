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izoargentina365.sharepoint.com/sites/grupoAutomatizacion_licitaciones/Licitaciones/Portales_Web/BAC/"/>
    </mc:Choice>
  </mc:AlternateContent>
  <xr:revisionPtr revIDLastSave="0" documentId="11_4AFDFD6547B13990E6396EC921A4D84684E0E38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comparativo'!$G$8:$L$8,'Cuadro comparativo'!$M$8:$R$8,'Cuadro comparativo'!$S$8:$X$8,'Cuadro comparativo'!$Y$8:$AD$8,'Cuadro comparativo'!$AE$8:$AJ$8,'Cuadro comparativo'!$AK$8:$AP$8,'Cuadro comparativo'!$AQ$8:$AV$8</definedName>
    <definedName name="Titles">'Cuadro comparativo'!$A$8:$F$8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P11" i="2"/>
  <c r="V11" i="2"/>
  <c r="AB11" i="2"/>
  <c r="AH11" i="2"/>
  <c r="AN11" i="2"/>
  <c r="AT11" i="2"/>
</calcChain>
</file>

<file path=xl/sharedStrings.xml><?xml version="1.0" encoding="utf-8"?>
<sst xmlns="http://schemas.openxmlformats.org/spreadsheetml/2006/main" count="93" uniqueCount="49">
  <si>
    <t>Número expediente:</t>
  </si>
  <si>
    <t>EX-2025-19982441-   -GCABA-HGACA</t>
  </si>
  <si>
    <t>Número proceso de compra:</t>
  </si>
  <si>
    <t>412-1412-CME25</t>
  </si>
  <si>
    <t>Nombre proceso de compra:</t>
  </si>
  <si>
    <t>ADQUISICION DE INSUMOS (bombas de infusion)</t>
  </si>
  <si>
    <t>Unidad Operativa de Adquisiciones:</t>
  </si>
  <si>
    <t xml:space="preserve">412 - HTAL. COSME ARGERICH  </t>
  </si>
  <si>
    <t>Fecha de Apertura:</t>
  </si>
  <si>
    <t>27/5/2025</t>
  </si>
  <si>
    <t>Renglón</t>
  </si>
  <si>
    <t>DROGUERIA ARTIGAS S.A.</t>
  </si>
  <si>
    <t>NUTRISWISS S.A.</t>
  </si>
  <si>
    <t>NIPRO MEDICAL CORPORATION SUC ARG</t>
  </si>
  <si>
    <t>SUIZO ARGENTINA S.A.</t>
  </si>
  <si>
    <t>Samtronic Argentina S.A</t>
  </si>
  <si>
    <t>SYEMED SRL</t>
  </si>
  <si>
    <t>DROGUERIA MEDI-CROSS SRL</t>
  </si>
  <si>
    <t>Opción</t>
  </si>
  <si>
    <t>Código</t>
  </si>
  <si>
    <t>Descripción</t>
  </si>
  <si>
    <t>Cantidad solicitada</t>
  </si>
  <si>
    <t>Unidad de medida</t>
  </si>
  <si>
    <t>Código Moneda</t>
  </si>
  <si>
    <t>Precio unitario</t>
  </si>
  <si>
    <t>Cantidad ofertada</t>
  </si>
  <si>
    <t>Total por renglón</t>
  </si>
  <si>
    <t>Especificacion técnica</t>
  </si>
  <si>
    <t>Total por renglón en ARS</t>
  </si>
  <si>
    <t xml:space="preserve">1 </t>
  </si>
  <si>
    <t xml:space="preserve">33.01.002.0428.7 </t>
  </si>
  <si>
    <t xml:space="preserve">BOMBA PARA INFUSION ELASTOMERICA Demás especificaciones deberán ser indicadas por 
la repartición solicitante. Modelo: Dispositivo descartable, estéril, en envase que 
garantice su conservación.  </t>
  </si>
  <si>
    <t xml:space="preserve">Unidad </t>
  </si>
  <si>
    <t xml:space="preserve">ARS </t>
  </si>
  <si>
    <t xml:space="preserve">LAMENTAMOS NO COTIZAR </t>
  </si>
  <si>
    <t xml:space="preserve">0,01 </t>
  </si>
  <si>
    <t xml:space="preserve">Bomba Elastomérica Exacta N1 de 100 ml x 2 ml/h 
(origen Italia) Cod NPDI10020. Para infusión ambulatoria durante 48 Hora 
</t>
  </si>
  <si>
    <t xml:space="preserve">1568000 </t>
  </si>
  <si>
    <t xml:space="preserve">"Bombas de infusión elastomericas portátil. PM877-63 Descartables para un solo 
uso. Envase PVC transparente que permite observar el producto. Exento 
de materia extraña, rebabas y aristas cortantes. Esterilizado por óxido 
de Etileno. INFUSOR DE100CC C/FILTRO. P/DOS  DIAS 2,1ml/h SUREFUSER+ 
SFS-1002DP </t>
  </si>
  <si>
    <t xml:space="preserve">352000 </t>
  </si>
  <si>
    <t xml:space="preserve">BOMBA ELASTOMERICA HOME PUMP 100ML. 2ML/H X24 -  PRESENTACION 
MINIMA POR 24 UNIDADES- MARCA:  AVANOS PM. 2220-250 </t>
  </si>
  <si>
    <t xml:space="preserve">464000 </t>
  </si>
  <si>
    <t xml:space="preserve">Lamentamoz no poder cotizar en esta ocasión </t>
  </si>
  <si>
    <t xml:space="preserve">0,08 </t>
  </si>
  <si>
    <t xml:space="preserve">Volumen 100ml, flujo 2ml/h, tiempo de infusión 48/50hs </t>
  </si>
  <si>
    <t xml:space="preserve">322824 </t>
  </si>
  <si>
    <t xml:space="preserve">DESC0500 BOMBA DE INFUSION ELASTOMERICA DESCARTABLE 48HS -100ML.Volumen nominal 100(ml) 
caudal nominal:2(ml/h)volumen residual :&lt;10%. Duracion :48hs  </t>
  </si>
  <si>
    <t xml:space="preserve">575766,4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</si>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</sst>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0" fillId="3" borderId="0" xfId="0" applyFill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Opción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L11" totalsRowCount="1">
  <tableColumns count="6">
    <tableColumn id="1" xr3:uid="{00000000-0010-0000-0100-000001000000}" name="Código Moneda"/>
    <tableColumn id="2" xr3:uid="{00000000-0010-0000-0100-000002000000}" name="Precio unitario"/>
    <tableColumn id="3" xr3:uid="{00000000-0010-0000-0100-000003000000}" name="Cantidad ofertada"/>
    <tableColumn id="4" xr3:uid="{00000000-0010-0000-0100-000004000000}" name="Total por renglón" totalsRowFunction="sum"/>
    <tableColumn id="5" xr3:uid="{00000000-0010-0000-0100-000005000000}" name="Especificacion técnica"/>
    <tableColumn id="6" xr3:uid="{00000000-0010-0000-0100-000006000000}" name="Total por renglón en AR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M9:R11" totalsRowCount="1">
  <tableColumns count="6">
    <tableColumn id="1" xr3:uid="{00000000-0010-0000-0200-000001000000}" name="Código Moneda"/>
    <tableColumn id="2" xr3:uid="{00000000-0010-0000-0200-000002000000}" name="Precio unitario"/>
    <tableColumn id="3" xr3:uid="{00000000-0010-0000-0200-000003000000}" name="Cantidad ofertada"/>
    <tableColumn id="4" xr3:uid="{00000000-0010-0000-0200-000004000000}" name="Total por renglón" totalsRowFunction="sum"/>
    <tableColumn id="5" xr3:uid="{00000000-0010-0000-0200-000005000000}" name="Especificacion técnica"/>
    <tableColumn id="6" xr3:uid="{00000000-0010-0000-0200-000006000000}" name="Total por renglón en AR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S9:X11" totalsRowCount="1">
  <tableColumns count="6">
    <tableColumn id="1" xr3:uid="{00000000-0010-0000-0300-000001000000}" name="Código Moneda"/>
    <tableColumn id="2" xr3:uid="{00000000-0010-0000-0300-000002000000}" name="Precio unitario"/>
    <tableColumn id="3" xr3:uid="{00000000-0010-0000-0300-000003000000}" name="Cantidad ofertada"/>
    <tableColumn id="4" xr3:uid="{00000000-0010-0000-0300-000004000000}" name="Total por renglón" totalsRowFunction="sum"/>
    <tableColumn id="5" xr3:uid="{00000000-0010-0000-0300-000005000000}" name="Especificacion técnica"/>
    <tableColumn id="6" xr3:uid="{00000000-0010-0000-0300-000006000000}" name="Total por renglón en AR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Y9:AD11" totalsRowCount="1">
  <tableColumns count="6">
    <tableColumn id="1" xr3:uid="{00000000-0010-0000-0400-000001000000}" name="Código Moneda"/>
    <tableColumn id="2" xr3:uid="{00000000-0010-0000-0400-000002000000}" name="Precio unitario"/>
    <tableColumn id="3" xr3:uid="{00000000-0010-0000-0400-000003000000}" name="Cantidad ofertada"/>
    <tableColumn id="4" xr3:uid="{00000000-0010-0000-0400-000004000000}" name="Total por renglón" totalsRowFunction="sum"/>
    <tableColumn id="5" xr3:uid="{00000000-0010-0000-0400-000005000000}" name="Especificacion técnica"/>
    <tableColumn id="6" xr3:uid="{00000000-0010-0000-0400-000006000000}" name="Total por renglón en AR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E9:AJ11" totalsRowCount="1">
  <tableColumns count="6">
    <tableColumn id="1" xr3:uid="{00000000-0010-0000-0500-000001000000}" name="Código Moneda"/>
    <tableColumn id="2" xr3:uid="{00000000-0010-0000-0500-000002000000}" name="Precio unitario"/>
    <tableColumn id="3" xr3:uid="{00000000-0010-0000-0500-000003000000}" name="Cantidad ofertada"/>
    <tableColumn id="4" xr3:uid="{00000000-0010-0000-0500-000004000000}" name="Total por renglón" totalsRowFunction="sum"/>
    <tableColumn id="5" xr3:uid="{00000000-0010-0000-0500-000005000000}" name="Especificacion técnica"/>
    <tableColumn id="6" xr3:uid="{00000000-0010-0000-0500-000006000000}" name="Total por renglón en AR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K9:AP11" totalsRowCount="1">
  <tableColumns count="6">
    <tableColumn id="1" xr3:uid="{00000000-0010-0000-0600-000001000000}" name="Código Moneda"/>
    <tableColumn id="2" xr3:uid="{00000000-0010-0000-0600-000002000000}" name="Precio unitario"/>
    <tableColumn id="3" xr3:uid="{00000000-0010-0000-0600-000003000000}" name="Cantidad ofertada"/>
    <tableColumn id="4" xr3:uid="{00000000-0010-0000-0600-000004000000}" name="Total por renglón" totalsRowFunction="sum"/>
    <tableColumn id="5" xr3:uid="{00000000-0010-0000-0600-000005000000}" name="Especificacion técnica"/>
    <tableColumn id="6" xr3:uid="{00000000-0010-0000-0600-000006000000}" name="Total por renglón en AR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Q9:AV11" totalsRowCount="1">
  <tableColumns count="6">
    <tableColumn id="1" xr3:uid="{00000000-0010-0000-0700-000001000000}" name="Código Moneda"/>
    <tableColumn id="2" xr3:uid="{00000000-0010-0000-0700-000002000000}" name="Precio unitario"/>
    <tableColumn id="3" xr3:uid="{00000000-0010-0000-0700-000003000000}" name="Cantidad ofertada"/>
    <tableColumn id="4" xr3:uid="{00000000-0010-0000-0700-000004000000}" name="Total por renglón" totalsRowFunction="sum"/>
    <tableColumn id="5" xr3:uid="{00000000-0010-0000-0700-000005000000}" name="Especificacion técnica"/>
    <tableColumn id="6" xr3:uid="{00000000-0010-0000-0700-000006000000}" name="Total por renglón en AR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8.88671875" defaultRowHeight="14.4" x14ac:dyDescent="0.3"/>
  <cols>
    <col min="1" max="1" width="8.88671875" customWidth="1"/>
    <col min="2" max="2" width="7.88671875" customWidth="1"/>
    <col min="3" max="3" width="16.6640625" customWidth="1"/>
    <col min="4" max="4" width="79.44140625" customWidth="1"/>
    <col min="5" max="5" width="44.5546875" customWidth="1"/>
    <col min="6" max="6" width="17.44140625" customWidth="1"/>
    <col min="7" max="7" width="15.33203125" customWidth="1"/>
    <col min="8" max="8" width="14.33203125" customWidth="1"/>
    <col min="9" max="9" width="17.33203125" customWidth="1"/>
    <col min="10" max="10" width="16.5546875" customWidth="1"/>
    <col min="11" max="11" width="25.5546875" customWidth="1"/>
    <col min="12" max="12" width="23" customWidth="1"/>
    <col min="13" max="13" width="15.33203125" customWidth="1"/>
    <col min="14" max="14" width="14.33203125" customWidth="1"/>
    <col min="15" max="15" width="17.33203125" customWidth="1"/>
    <col min="16" max="16" width="16.5546875" customWidth="1"/>
    <col min="17" max="17" width="64.5546875" customWidth="1"/>
    <col min="18" max="18" width="23" customWidth="1"/>
    <col min="19" max="19" width="15.33203125" customWidth="1"/>
    <col min="20" max="20" width="14.33203125" customWidth="1"/>
    <col min="21" max="21" width="17.33203125" customWidth="1"/>
    <col min="22" max="22" width="16.5546875" customWidth="1"/>
    <col min="23" max="23" width="70.6640625" customWidth="1"/>
    <col min="24" max="24" width="23" customWidth="1"/>
    <col min="25" max="25" width="15.33203125" customWidth="1"/>
    <col min="26" max="26" width="14.33203125" customWidth="1"/>
    <col min="27" max="27" width="17.33203125" customWidth="1"/>
    <col min="28" max="28" width="16.5546875" customWidth="1"/>
    <col min="29" max="29" width="66.109375" customWidth="1"/>
    <col min="30" max="30" width="23" customWidth="1"/>
    <col min="31" max="31" width="15.33203125" customWidth="1"/>
    <col min="32" max="32" width="14.33203125" customWidth="1"/>
    <col min="33" max="33" width="17.33203125" customWidth="1"/>
    <col min="34" max="34" width="16.5546875" customWidth="1"/>
    <col min="35" max="35" width="41" customWidth="1"/>
    <col min="36" max="36" width="23" customWidth="1"/>
    <col min="37" max="37" width="15.33203125" customWidth="1"/>
    <col min="38" max="38" width="14.33203125" customWidth="1"/>
    <col min="39" max="39" width="17.33203125" customWidth="1"/>
    <col min="40" max="40" width="16.5546875" customWidth="1"/>
    <col min="41" max="41" width="50.33203125" customWidth="1"/>
    <col min="42" max="42" width="23" customWidth="1"/>
    <col min="43" max="43" width="15.33203125" customWidth="1"/>
    <col min="44" max="44" width="14.33203125" customWidth="1"/>
    <col min="45" max="45" width="17.33203125" customWidth="1"/>
    <col min="46" max="46" width="16.5546875" customWidth="1"/>
    <col min="47" max="47" width="90.109375" customWidth="1"/>
    <col min="48" max="48" width="23" customWidth="1"/>
  </cols>
  <sheetData>
    <row r="1" spans="1:48" x14ac:dyDescent="0.3">
      <c r="D1" s="1" t="s">
        <v>0</v>
      </c>
      <c r="E1" s="1" t="s">
        <v>1</v>
      </c>
    </row>
    <row r="2" spans="1:48" x14ac:dyDescent="0.3">
      <c r="D2" s="1" t="s">
        <v>2</v>
      </c>
      <c r="E2" s="1" t="s">
        <v>3</v>
      </c>
    </row>
    <row r="3" spans="1:48" x14ac:dyDescent="0.3">
      <c r="D3" s="1" t="s">
        <v>4</v>
      </c>
      <c r="E3" s="1" t="s">
        <v>5</v>
      </c>
    </row>
    <row r="4" spans="1:48" x14ac:dyDescent="0.3">
      <c r="D4" s="1" t="s">
        <v>6</v>
      </c>
      <c r="E4" s="1" t="s">
        <v>7</v>
      </c>
    </row>
    <row r="5" spans="1:48" x14ac:dyDescent="0.3">
      <c r="D5" s="1" t="s">
        <v>8</v>
      </c>
      <c r="E5" s="1" t="s">
        <v>9</v>
      </c>
    </row>
    <row r="8" spans="1:48" x14ac:dyDescent="0.3">
      <c r="A8" s="9" t="s">
        <v>10</v>
      </c>
      <c r="B8" s="9"/>
      <c r="C8" s="9"/>
      <c r="D8" s="9"/>
      <c r="E8" s="9"/>
      <c r="F8" s="9"/>
      <c r="G8" s="9" t="s">
        <v>11</v>
      </c>
      <c r="H8" s="9"/>
      <c r="I8" s="9"/>
      <c r="J8" s="9"/>
      <c r="K8" s="9"/>
      <c r="L8" s="9"/>
      <c r="M8" s="9" t="s">
        <v>12</v>
      </c>
      <c r="N8" s="9"/>
      <c r="O8" s="9"/>
      <c r="P8" s="9"/>
      <c r="Q8" s="9"/>
      <c r="R8" s="9"/>
      <c r="S8" s="9" t="s">
        <v>13</v>
      </c>
      <c r="T8" s="9"/>
      <c r="U8" s="9"/>
      <c r="V8" s="9"/>
      <c r="W8" s="9"/>
      <c r="X8" s="9"/>
      <c r="Y8" s="9" t="s">
        <v>14</v>
      </c>
      <c r="Z8" s="9"/>
      <c r="AA8" s="9"/>
      <c r="AB8" s="9"/>
      <c r="AC8" s="9"/>
      <c r="AD8" s="9"/>
      <c r="AE8" s="9" t="s">
        <v>15</v>
      </c>
      <c r="AF8" s="9"/>
      <c r="AG8" s="9"/>
      <c r="AH8" s="9"/>
      <c r="AI8" s="9"/>
      <c r="AJ8" s="9"/>
      <c r="AK8" s="9" t="s">
        <v>16</v>
      </c>
      <c r="AL8" s="9"/>
      <c r="AM8" s="9"/>
      <c r="AN8" s="9"/>
      <c r="AO8" s="9"/>
      <c r="AP8" s="9"/>
      <c r="AQ8" s="9" t="s">
        <v>17</v>
      </c>
      <c r="AR8" s="9"/>
      <c r="AS8" s="9"/>
      <c r="AT8" s="9"/>
      <c r="AU8" s="9"/>
      <c r="AV8" s="9"/>
    </row>
    <row r="9" spans="1:48" x14ac:dyDescent="0.3">
      <c r="A9" t="s">
        <v>10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s="2" t="s">
        <v>23</v>
      </c>
      <c r="H9" s="2" t="s">
        <v>24</v>
      </c>
      <c r="I9" t="s">
        <v>25</v>
      </c>
      <c r="J9" t="s">
        <v>26</v>
      </c>
      <c r="K9" t="s">
        <v>27</v>
      </c>
      <c r="L9" t="s">
        <v>28</v>
      </c>
      <c r="M9" s="2" t="s">
        <v>23</v>
      </c>
      <c r="N9" s="2" t="s">
        <v>24</v>
      </c>
      <c r="O9" t="s">
        <v>25</v>
      </c>
      <c r="P9" t="s">
        <v>26</v>
      </c>
      <c r="Q9" t="s">
        <v>27</v>
      </c>
      <c r="R9" t="s">
        <v>28</v>
      </c>
      <c r="S9" s="2" t="s">
        <v>23</v>
      </c>
      <c r="T9" s="2" t="s">
        <v>24</v>
      </c>
      <c r="U9" t="s">
        <v>25</v>
      </c>
      <c r="V9" t="s">
        <v>26</v>
      </c>
      <c r="W9" t="s">
        <v>27</v>
      </c>
      <c r="X9" t="s">
        <v>28</v>
      </c>
      <c r="Y9" s="2" t="s">
        <v>23</v>
      </c>
      <c r="Z9" s="2" t="s">
        <v>24</v>
      </c>
      <c r="AA9" t="s">
        <v>25</v>
      </c>
      <c r="AB9" t="s">
        <v>26</v>
      </c>
      <c r="AC9" t="s">
        <v>27</v>
      </c>
      <c r="AD9" t="s">
        <v>28</v>
      </c>
      <c r="AE9" s="2" t="s">
        <v>23</v>
      </c>
      <c r="AF9" s="2" t="s">
        <v>24</v>
      </c>
      <c r="AG9" t="s">
        <v>25</v>
      </c>
      <c r="AH9" t="s">
        <v>26</v>
      </c>
      <c r="AI9" t="s">
        <v>27</v>
      </c>
      <c r="AJ9" t="s">
        <v>28</v>
      </c>
      <c r="AK9" s="2" t="s">
        <v>23</v>
      </c>
      <c r="AL9" s="2" t="s">
        <v>24</v>
      </c>
      <c r="AM9" t="s">
        <v>25</v>
      </c>
      <c r="AN9" t="s">
        <v>26</v>
      </c>
      <c r="AO9" t="s">
        <v>27</v>
      </c>
      <c r="AP9" t="s">
        <v>28</v>
      </c>
      <c r="AQ9" s="2" t="s">
        <v>23</v>
      </c>
      <c r="AR9" s="2" t="s">
        <v>24</v>
      </c>
      <c r="AS9" t="s">
        <v>25</v>
      </c>
      <c r="AT9" t="s">
        <v>26</v>
      </c>
      <c r="AU9" t="s">
        <v>27</v>
      </c>
      <c r="AV9" t="s">
        <v>28</v>
      </c>
    </row>
    <row r="10" spans="1:48" ht="72" x14ac:dyDescent="0.3">
      <c r="A10" t="s">
        <v>29</v>
      </c>
      <c r="B10" t="s">
        <v>29</v>
      </c>
      <c r="C10" t="s">
        <v>30</v>
      </c>
      <c r="D10" s="3" t="s">
        <v>31</v>
      </c>
      <c r="E10">
        <v>8</v>
      </c>
      <c r="F10" t="s">
        <v>32</v>
      </c>
      <c r="G10" s="2" t="s">
        <v>33</v>
      </c>
      <c r="H10" s="2">
        <v>0.01</v>
      </c>
      <c r="I10">
        <v>1</v>
      </c>
      <c r="J10" s="4">
        <v>0.01</v>
      </c>
      <c r="K10" t="s">
        <v>34</v>
      </c>
      <c r="L10" t="s">
        <v>35</v>
      </c>
      <c r="M10" s="2" t="s">
        <v>33</v>
      </c>
      <c r="N10" s="2">
        <v>196000</v>
      </c>
      <c r="O10">
        <v>8</v>
      </c>
      <c r="P10" s="4">
        <v>1568000</v>
      </c>
      <c r="Q10" s="3" t="s">
        <v>36</v>
      </c>
      <c r="R10" t="s">
        <v>37</v>
      </c>
      <c r="S10" s="2" t="s">
        <v>33</v>
      </c>
      <c r="T10" s="2">
        <v>44000</v>
      </c>
      <c r="U10">
        <v>8</v>
      </c>
      <c r="V10" s="4">
        <v>352000</v>
      </c>
      <c r="W10" s="3" t="s">
        <v>38</v>
      </c>
      <c r="X10" t="s">
        <v>39</v>
      </c>
      <c r="Y10" s="2" t="s">
        <v>33</v>
      </c>
      <c r="Z10" s="2">
        <v>58000</v>
      </c>
      <c r="AA10">
        <v>8</v>
      </c>
      <c r="AB10" s="4">
        <v>464000</v>
      </c>
      <c r="AC10" s="3" t="s">
        <v>40</v>
      </c>
      <c r="AD10" t="s">
        <v>41</v>
      </c>
      <c r="AE10" s="2" t="s">
        <v>33</v>
      </c>
      <c r="AF10" s="2">
        <v>0.01</v>
      </c>
      <c r="AG10">
        <v>8</v>
      </c>
      <c r="AH10" s="4">
        <v>0.08</v>
      </c>
      <c r="AI10" t="s">
        <v>42</v>
      </c>
      <c r="AJ10" t="s">
        <v>43</v>
      </c>
      <c r="AK10" s="2" t="s">
        <v>33</v>
      </c>
      <c r="AL10" s="2">
        <v>40353</v>
      </c>
      <c r="AM10">
        <v>8</v>
      </c>
      <c r="AN10" s="4">
        <v>322824</v>
      </c>
      <c r="AO10" t="s">
        <v>44</v>
      </c>
      <c r="AP10" t="s">
        <v>45</v>
      </c>
      <c r="AQ10" s="2" t="s">
        <v>33</v>
      </c>
      <c r="AR10" s="2">
        <v>71970.8</v>
      </c>
      <c r="AS10">
        <v>8</v>
      </c>
      <c r="AT10" s="4">
        <v>575766.4</v>
      </c>
      <c r="AU10" s="3" t="s">
        <v>46</v>
      </c>
      <c r="AV10" t="s">
        <v>47</v>
      </c>
    </row>
    <row r="11" spans="1:48" x14ac:dyDescent="0.3">
      <c r="C11" t="s">
        <v>48</v>
      </c>
      <c r="D11" s="3"/>
      <c r="G11" s="7"/>
      <c r="H11" s="7"/>
      <c r="I11" s="5"/>
      <c r="J11" s="6">
        <f>SUBTOTAL(109,Table2[Total por renglón])</f>
        <v>0.01</v>
      </c>
      <c r="K11" s="5"/>
      <c r="L11" s="5"/>
      <c r="M11" s="7"/>
      <c r="N11" s="7"/>
      <c r="O11" s="5"/>
      <c r="P11" s="6">
        <f>SUBTOTAL(109,Table3[Total por renglón])</f>
        <v>1568000</v>
      </c>
      <c r="Q11" s="8"/>
      <c r="R11" s="5"/>
      <c r="S11" s="7"/>
      <c r="T11" s="7"/>
      <c r="U11" s="5"/>
      <c r="V11" s="6">
        <f>SUBTOTAL(109,Table4[Total por renglón])</f>
        <v>352000</v>
      </c>
      <c r="W11" s="8"/>
      <c r="X11" s="5"/>
      <c r="Y11" s="7"/>
      <c r="Z11" s="7"/>
      <c r="AA11" s="5"/>
      <c r="AB11" s="6">
        <f>SUBTOTAL(109,Table5[Total por renglón])</f>
        <v>464000</v>
      </c>
      <c r="AC11" s="8"/>
      <c r="AD11" s="5"/>
      <c r="AE11" s="7"/>
      <c r="AF11" s="7"/>
      <c r="AG11" s="5"/>
      <c r="AH11" s="6">
        <f>SUBTOTAL(109,Table6[Total por renglón])</f>
        <v>0.08</v>
      </c>
      <c r="AI11" s="5"/>
      <c r="AJ11" s="5"/>
      <c r="AK11" s="7"/>
      <c r="AL11" s="7"/>
      <c r="AM11" s="5"/>
      <c r="AN11" s="6">
        <f>SUBTOTAL(109,Table7[Total por renglón])</f>
        <v>322824</v>
      </c>
      <c r="AO11" s="5"/>
      <c r="AP11" s="5"/>
      <c r="AQ11" s="7"/>
      <c r="AR11" s="7"/>
      <c r="AS11" s="5"/>
      <c r="AT11" s="6">
        <f>SUBTOTAL(109,Table8[Total por renglón])</f>
        <v>575766.4</v>
      </c>
      <c r="AU11" s="8"/>
      <c r="AV11" s="5"/>
    </row>
  </sheetData>
  <mergeCells count="8">
    <mergeCell ref="AK8:AP8"/>
    <mergeCell ref="AQ8:AV8"/>
    <mergeCell ref="A8:F8"/>
    <mergeCell ref="G8:L8"/>
    <mergeCell ref="M8:R8"/>
    <mergeCell ref="S8:X8"/>
    <mergeCell ref="Y8:AD8"/>
    <mergeCell ref="AE8:AJ8"/>
  </mergeCells>
  <pageMargins left="0.75" right="0.75" top="0.75" bottom="0.5" header="0.5" footer="0.75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2af5e0-5924-4968-9aa4-6182b210cea3" xsi:nil="true"/>
    <lcf76f155ced4ddcb4097134ff3c332f xmlns="6bc9eae2-2737-46c7-85df-7aedc1cd0d8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558C276962B41839B319C623BAFD4" ma:contentTypeVersion="10" ma:contentTypeDescription="Crear nuevo documento." ma:contentTypeScope="" ma:versionID="957e1e27714b91d15c9fa3a3b931c6e6">
  <xsd:schema xmlns:xsd="http://www.w3.org/2001/XMLSchema" xmlns:xs="http://www.w3.org/2001/XMLSchema" xmlns:p="http://schemas.microsoft.com/office/2006/metadata/properties" xmlns:ns2="6bc9eae2-2737-46c7-85df-7aedc1cd0d8c" xmlns:ns3="be2af5e0-5924-4968-9aa4-6182b210cea3" targetNamespace="http://schemas.microsoft.com/office/2006/metadata/properties" ma:root="true" ma:fieldsID="7fb5dddd4f13accaaf2bc183fa197cd6" ns2:_="" ns3:_="">
    <xsd:import namespace="6bc9eae2-2737-46c7-85df-7aedc1cd0d8c"/>
    <xsd:import namespace="be2af5e0-5924-4968-9aa4-6182b210ce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eae2-2737-46c7-85df-7aedc1cd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c4e4569-165f-4e6d-becf-8e9e7eef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af5e0-5924-4968-9aa4-6182b210ce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30524e-ed0a-4ee8-947b-20906ab54eb7}" ma:internalName="TaxCatchAll" ma:showField="CatchAllData" ma:web="be2af5e0-5924-4968-9aa4-6182b210ce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9541BD-3E9B-49E2-9F0F-BEA263A83990}">
  <ds:schemaRefs>
    <ds:schemaRef ds:uri="http://schemas.microsoft.com/office/2006/metadata/properties"/>
    <ds:schemaRef ds:uri="http://schemas.microsoft.com/office/infopath/2007/PartnerControls"/>
    <ds:schemaRef ds:uri="be2af5e0-5924-4968-9aa4-6182b210cea3"/>
    <ds:schemaRef ds:uri="6bc9eae2-2737-46c7-85df-7aedc1cd0d8c"/>
  </ds:schemaRefs>
</ds:datastoreItem>
</file>

<file path=customXml/itemProps2.xml><?xml version="1.0" encoding="utf-8"?>
<ds:datastoreItem xmlns:ds="http://schemas.openxmlformats.org/officeDocument/2006/customXml" ds:itemID="{C8074885-9700-4CA5-8C07-30534F8183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eae2-2737-46c7-85df-7aedc1cd0d8c"/>
    <ds:schemaRef ds:uri="be2af5e0-5924-4968-9aa4-6182b210ce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0D51F1-443F-4F08-8A5F-675405FAC2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XAVIER HERNANDEZ</cp:lastModifiedBy>
  <cp:revision/>
  <dcterms:created xsi:type="dcterms:W3CDTF">2025-05-30T16:02:18Z</dcterms:created>
  <dcterms:modified xsi:type="dcterms:W3CDTF">2025-09-10T12:00:41Z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0x010100738558C276962B41839B319C623BAFD4</vt:lpwstr>
  </property>
  <property fmtid="{D5CDD505-2E9C-101B-9397-08002B2CF9AE}" pid="3" name="MediaServiceImageTags">
    <vt:lpwstr/>
  </property>
</Properties>
</file>